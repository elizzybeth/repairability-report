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US ROG Flow Z13 (2025) GZ302E"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Is it there?</t>
      </text>
    </comment>
    <comment authorId="0" ref="B8">
      <text>
        <t xml:space="preserve">How much does it count?</t>
      </text>
    </comment>
    <comment authorId="0" ref="C8">
      <text>
        <t xml:space="preserve">What does that amount to?</t>
      </text>
    </comment>
    <comment authorId="0" ref="B28">
      <text>
        <t xml:space="preserve">The weight for each priority part in this device category (from the Devices tab).</t>
      </text>
    </comment>
    <comment authorId="0" ref="C28">
      <text>
        <t xml:space="preserve">0-25% of product price = full points
25-100% of product price = 20% points (80% penalty)
N/A or &gt;100% of MSRP = no points</t>
      </text>
    </comment>
    <comment authorId="0" ref="I39">
      <text>
        <t xml:space="preserve">Individual tool scores are taken from the Tools worksheet.</t>
      </text>
    </comment>
    <comment authorId="0" ref="J39">
      <text>
        <t xml:space="preserve">The number of Priority Part replacement procedures where this tool is used at least once.</t>
      </text>
    </comment>
    <comment authorId="0" ref="K39">
      <text>
        <t xml:space="preserve">The total number of times this tool is used across all Priority Part replacement procedures.
</t>
      </text>
    </comment>
    <comment authorId="0" ref="A81">
      <text>
        <t xml:space="preserve">1 = no penalty (score is multiplied by 1, resulting in no change)
0.5 = 50% penalty
0 = 100% penalty
</t>
      </text>
    </comment>
    <comment authorId="0" ref="K81">
      <text>
        <t xml:space="preserve">Warnings may include "Non-Genuine Part" or "Unable to verify," etc. </t>
      </text>
    </comment>
    <comment authorId="0" ref="B97">
      <text>
        <t xml:space="preserve">Penalty of 1.44 added for each tool change; zero penalty if changing to "Hand."</t>
      </text>
    </comment>
    <comment authorId="0" ref="C97">
      <text>
        <t xml:space="preserve">The time value associated with this action, multiplied by the quantity of actions.</t>
      </text>
    </comment>
    <comment authorId="0" ref="D97">
      <text>
        <t xml:space="preserve">For a new/nonstandard action, this is the elapsed time in seconds recorded for disassembly + reassembly.</t>
      </text>
    </comment>
    <comment authorId="0" ref="E97">
      <text>
        <t xml:space="preserve">Equal to Action Score multiplied by Tool Score. Standardized action scores are always used if available; otherwise, manual entries are used.</t>
      </text>
    </comment>
    <comment authorId="0" ref="I97">
      <text>
        <t xml:space="preserve">How many times this action is performed, e.g. number of screws, clips, connectors, etc.</t>
      </text>
    </comment>
    <comment authorId="0" ref="J97">
      <text>
        <t xml:space="preserve">If Action is Other/Nonstandard, enter the elapsed time in seconds recorded for this action during disassembly. Include a description of the action in the Notes column.</t>
      </text>
    </comment>
    <comment authorId="0" ref="K97">
      <text>
        <t xml:space="preserve">If Action is Other/Nonstandard, enter the elapsed time in seconds recorded for this action during reassembly. Include a description of the action in the Notes column.</t>
      </text>
    </comment>
    <comment authorId="0" ref="B153">
      <text>
        <t xml:space="preserve">Penalty of 1.44 added for each tool change; zero penalty if changing to "Hand."</t>
      </text>
    </comment>
    <comment authorId="0" ref="C153">
      <text>
        <t xml:space="preserve">The time value associated with this action, multiplied by the quantity of actions.</t>
      </text>
    </comment>
    <comment authorId="0" ref="D153">
      <text>
        <t xml:space="preserve">For a new/nonstandard action, this is the elapsed time in seconds recorded for disassembly + reassembly.</t>
      </text>
    </comment>
    <comment authorId="0" ref="E153">
      <text>
        <t xml:space="preserve">Equal to Action Score multiplied by Tool Score. Standardized action scores are always used if available; otherwise, manual entries are used.</t>
      </text>
    </comment>
    <comment authorId="0" ref="I153">
      <text>
        <t xml:space="preserve">How many times this action is performed, e.g. number of screws, clips, connectors, etc.</t>
      </text>
    </comment>
    <comment authorId="0" ref="J153">
      <text>
        <t xml:space="preserve">If Action is Other/Nonstandard, enter the elapsed time in seconds recorded for this action during disassembly. Include a description of the action in the Notes column.</t>
      </text>
    </comment>
    <comment authorId="0" ref="K153">
      <text>
        <t xml:space="preserve">If Action is Other/Nonstandard, enter the elapsed time in seconds recorded for this action during reassembly. Include a description of the action in the Notes column.</t>
      </text>
    </comment>
    <comment authorId="0" ref="B209">
      <text>
        <t xml:space="preserve">Penalty of 1.44 added for each tool change; zero penalty if changing to "Hand."</t>
      </text>
    </comment>
    <comment authorId="0" ref="C209">
      <text>
        <t xml:space="preserve">The time value associated with this action, multiplied by the quantity of actions.</t>
      </text>
    </comment>
    <comment authorId="0" ref="D209">
      <text>
        <t xml:space="preserve">For a new/nonstandard action, this is the elapsed time in seconds recorded for disassembly + reassembly.</t>
      </text>
    </comment>
    <comment authorId="0" ref="E209">
      <text>
        <t xml:space="preserve">Equal to Action Score multiplied by Tool Score. Standardized action scores are always used if available; otherwise, manual entries are used.</t>
      </text>
    </comment>
    <comment authorId="0" ref="I209">
      <text>
        <t xml:space="preserve">How many times this action is performed, e.g. number of screws, clips, connectors, etc.</t>
      </text>
    </comment>
    <comment authorId="0" ref="J209">
      <text>
        <t xml:space="preserve">If Action is Other/Nonstandard, enter the elapsed time in seconds recorded for this action during disassembly. Include a description of the action in the Notes column.</t>
      </text>
    </comment>
    <comment authorId="0" ref="K209">
      <text>
        <t xml:space="preserve">If Action is Other/Nonstandard, enter the elapsed time in seconds recorded for this action during reassembly. Include a description of the action in the Notes column.</t>
      </text>
    </comment>
    <comment authorId="0" ref="B265">
      <text>
        <t xml:space="preserve">Penalty of 1.44 added for each tool change; zero penalty if changing to "Hand."</t>
      </text>
    </comment>
    <comment authorId="0" ref="C265">
      <text>
        <t xml:space="preserve">The time value associated with this action, multiplied by the quantity of actions.</t>
      </text>
    </comment>
    <comment authorId="0" ref="D265">
      <text>
        <t xml:space="preserve">For a new/nonstandard action, this is the elapsed time in seconds recorded for disassembly + reassembly.</t>
      </text>
    </comment>
    <comment authorId="0" ref="E265">
      <text>
        <t xml:space="preserve">Equal to Action Score multiplied by Tool Score. Standardized action scores are always used if available; otherwise, manual entries are used.</t>
      </text>
    </comment>
    <comment authorId="0" ref="I265">
      <text>
        <t xml:space="preserve">How many times this action is performed, e.g. number of screws, clips, connectors, etc.</t>
      </text>
    </comment>
    <comment authorId="0" ref="J265">
      <text>
        <t xml:space="preserve">If Action is Other/Nonstandard, enter the elapsed time in seconds recorded for this action during disassembly. Include a description of the action in the Notes column.</t>
      </text>
    </comment>
    <comment authorId="0" ref="K265">
      <text>
        <t xml:space="preserve">If Action is Other/Nonstandard, enter the elapsed time in seconds recorded for this action during reassembly. Include a description of the action in the Notes column.</t>
      </text>
    </comment>
    <comment authorId="0" ref="B321">
      <text>
        <t xml:space="preserve">Penalty of 1.44 added for each tool change; zero penalty if changing to "Hand."</t>
      </text>
    </comment>
    <comment authorId="0" ref="C321">
      <text>
        <t xml:space="preserve">The time value associated with this action, multiplied by the quantity of actions.</t>
      </text>
    </comment>
    <comment authorId="0" ref="D321">
      <text>
        <t xml:space="preserve">For a new/nonstandard action, this is the elapsed time in seconds recorded for disassembly + reassembly.</t>
      </text>
    </comment>
    <comment authorId="0" ref="E321">
      <text>
        <t xml:space="preserve">Equal to Action Score multiplied by Tool Score. Standardized action scores are always used if available; otherwise, manual entries are used.</t>
      </text>
    </comment>
    <comment authorId="0" ref="I321">
      <text>
        <t xml:space="preserve">How many times this action is performed, e.g. number of screws, clips, connectors, etc.</t>
      </text>
    </comment>
    <comment authorId="0" ref="J321">
      <text>
        <t xml:space="preserve">If Action is Other/Nonstandard, enter the elapsed time in seconds recorded for this action during disassembly. Include a description of the action in the Notes column.</t>
      </text>
    </comment>
    <comment authorId="0" ref="K321">
      <text>
        <t xml:space="preserve">If Action is Other/Nonstandard, enter the elapsed time in seconds recorded for this action during reassembly. Include a description of the action in the Notes column.</t>
      </text>
    </comment>
    <comment authorId="0" ref="B377">
      <text>
        <t xml:space="preserve">Penalty of 1.44 added for each tool change; zero penalty if changing to "Hand."</t>
      </text>
    </comment>
    <comment authorId="0" ref="C377">
      <text>
        <t xml:space="preserve">The time value associated with this action, multiplied by the quantity of actions.</t>
      </text>
    </comment>
    <comment authorId="0" ref="D377">
      <text>
        <t xml:space="preserve">For a new/nonstandard action, this is the elapsed time in seconds recorded for disassembly + reassembly.</t>
      </text>
    </comment>
    <comment authorId="0" ref="E377">
      <text>
        <t xml:space="preserve">Equal to Action Score multiplied by Tool Score. Standardized action scores are always used if available; otherwise, manual entries are used.</t>
      </text>
    </comment>
    <comment authorId="0" ref="I377">
      <text>
        <t xml:space="preserve">How many times this action is performed, e.g. number of screws, clips, connectors, etc.</t>
      </text>
    </comment>
    <comment authorId="0" ref="J377">
      <text>
        <t xml:space="preserve">If Action is Other/Nonstandard, enter the elapsed time in seconds recorded for this action during disassembly. Include a description of the action in the Notes column.</t>
      </text>
    </comment>
    <comment authorId="0" ref="K377">
      <text>
        <t xml:space="preserve">If Action is Other/Nonstandard, enter the elapsed time in seconds recorded for this action during reassembly. Include a description of the action in the Notes column.</t>
      </text>
    </comment>
    <comment authorId="0" ref="B433">
      <text>
        <t xml:space="preserve">Penalty of 1.44 added for each tool change; zero penalty if changing to "Hand."</t>
      </text>
    </comment>
    <comment authorId="0" ref="C433">
      <text>
        <t xml:space="preserve">The time value associated with this action, multiplied by the quantity of actions.</t>
      </text>
    </comment>
    <comment authorId="0" ref="D433">
      <text>
        <t xml:space="preserve">For a new/nonstandard action, this is the elapsed time in seconds recorded for disassembly + reassembly.</t>
      </text>
    </comment>
    <comment authorId="0" ref="E433">
      <text>
        <t xml:space="preserve">Equal to Action Score multiplied by Tool Score. Standardized action scores are always used if available; otherwise, manual entries are used.</t>
      </text>
    </comment>
    <comment authorId="0" ref="I433">
      <text>
        <t xml:space="preserve">How many times this action is performed, e.g. number of screws, clips, connectors, etc.</t>
      </text>
    </comment>
    <comment authorId="0" ref="J433">
      <text>
        <t xml:space="preserve">If Action is Other/Nonstandard, enter the elapsed time in seconds recorded for this action during disassembly. Include a description of the action in the Notes column.</t>
      </text>
    </comment>
    <comment authorId="0" ref="K433">
      <text>
        <t xml:space="preserve">If Action is Other/Nonstandard, enter the elapsed time in seconds recorded for this action during reassembly. Include a description of the action in the Notes column.</t>
      </text>
    </comment>
    <comment authorId="0" ref="G505">
      <text>
        <t xml:space="preserve">Minimum score of zero even if enough penalties accrue to make this number negative. (In other words: we do not award negative scores.)
</t>
      </text>
    </comment>
  </commentList>
</comments>
</file>

<file path=xl/sharedStrings.xml><?xml version="1.0" encoding="utf-8"?>
<sst xmlns="http://schemas.openxmlformats.org/spreadsheetml/2006/main" count="449" uniqueCount="199">
  <si>
    <t>§</t>
  </si>
  <si>
    <t>Input</t>
  </si>
  <si>
    <t>Description</t>
  </si>
  <si>
    <t>Note</t>
  </si>
  <si>
    <t>Identification</t>
  </si>
  <si>
    <t>Sections below are for calculation only—no data entry. DO NOT ALTER.</t>
  </si>
  <si>
    <t>ASUS ROG Flow Z13 (2025) GZ302EA-XS96</t>
  </si>
  <si>
    <t>Make/Model</t>
  </si>
  <si>
    <t>A.K.A. GZ302E - midrange model</t>
  </si>
  <si>
    <t>Tablet</t>
  </si>
  <si>
    <t>Product Group</t>
  </si>
  <si>
    <t>* This may be marketed more as a gaming laptop, but it's the usual detachable keyboard / 2-in-1 design that we'd score as a tablet</t>
  </si>
  <si>
    <t>\/   \/   \/   \/   \/</t>
  </si>
  <si>
    <t>Yes</t>
  </si>
  <si>
    <t>Unique product identifier present on product exterior *</t>
  </si>
  <si>
    <t>"Model: GZ302E" and "GZ302EA-XS96" printed inside kickstand</t>
  </si>
  <si>
    <t xml:space="preserve">  * Partial credit: identifier present after minor disassembly</t>
  </si>
  <si>
    <t>e.g. On SIM tray or underneath pop-off back cover. No tools or the most basic tools only. IMEI numbers still don't count.</t>
  </si>
  <si>
    <t>Data</t>
  </si>
  <si>
    <t>Weight</t>
  </si>
  <si>
    <t>Calc</t>
  </si>
  <si>
    <t>Documentation (Service Manual)</t>
  </si>
  <si>
    <t>Pass/Fail</t>
  </si>
  <si>
    <t>On OEM website / support site, or readily linked therefrom</t>
  </si>
  <si>
    <t>https://rog.asus.com/us/laptops/rog-flow/rog-flow-z13-2025/helpdesk_service_guide/</t>
  </si>
  <si>
    <t>Free, public</t>
  </si>
  <si>
    <t>Must not require registration for access—If registration/signup is required, mark this field "No."</t>
  </si>
  <si>
    <t>Includes tools list(s)</t>
  </si>
  <si>
    <t>"Screwdriver" is listed, but doesn't say what kind.</t>
  </si>
  <si>
    <t>No</t>
  </si>
  <si>
    <t>Includes parts list w/part numbers (or clear compatibility)</t>
  </si>
  <si>
    <t>If no part numbers, compatibility must be obvious—e.g. if there’s only one Fairphone 4 and only one part named “Fairphone 4 display,” good enough. A direct link in the manual to the correct part's product page is also okay.</t>
  </si>
  <si>
    <t>Includes exploded diagram</t>
  </si>
  <si>
    <t>Includes schematics (board diagrams)</t>
  </si>
  <si>
    <t>There's a single connection diagram on p. 96—nothing helpful for board-level repair.</t>
  </si>
  <si>
    <t>Includes troubleshooting</t>
  </si>
  <si>
    <t>Refers reader to diagnostic tools on the Asus support site.</t>
  </si>
  <si>
    <t xml:space="preserve">Videos okay. If missing, check in owner's manual before marking incomplete. </t>
  </si>
  <si>
    <t>2.8a</t>
  </si>
  <si>
    <r>
      <rPr>
        <rFont val="&quot;Proxima Nova&quot;"/>
        <b/>
        <i/>
        <color rgb="FF434343"/>
      </rPr>
      <t>Be sure to enter "N/A" for any components that could not reasonably have a repair procedure</t>
    </r>
    <r>
      <rPr>
        <rFont val="&quot;Proxima Nova&quot;"/>
        <i/>
        <color rgb="FF434343"/>
      </rPr>
      <t xml:space="preserve">, e.g. soldered RAM. Design choices are penalized elsewhere in the scorecard, not here. </t>
    </r>
  </si>
  <si>
    <t>2.8b</t>
  </si>
  <si>
    <t>N/A</t>
  </si>
  <si>
    <t>In other words, we want to see the completest service manual that could reasonably exist for this device—not for an imaginary device. If the OEM makes a product that's not well designed for repair with an A+ repair manual, they get 100% credit here.</t>
  </si>
  <si>
    <t>2.8c</t>
  </si>
  <si>
    <t>2.8d</t>
  </si>
  <si>
    <t>2.8e</t>
  </si>
  <si>
    <t>2.8f</t>
  </si>
  <si>
    <t>Subtotal</t>
  </si>
  <si>
    <t xml:space="preserve">  Documentation Subtotal</t>
  </si>
  <si>
    <t>Capped at 85% if unique product identifier is not present (§1.3), or 90% if only present after minor disassembly (§1.4).</t>
  </si>
  <si>
    <t>Replacement Parts</t>
  </si>
  <si>
    <t>Retail price of this device (excluding tax/shipping)</t>
  </si>
  <si>
    <r>
      <rPr>
        <rFont val="&quot;Proxima Nova&quot;"/>
        <b/>
        <i/>
        <color rgb="FF0071CE"/>
      </rPr>
      <t xml:space="preserve">Seemingly no parts available unless you confirm a hardware problem using Asus' diagnostic tool and successfully APPLY for the right to purchase the specified component. </t>
    </r>
    <r>
      <rPr>
        <rFont val="&quot;Proxima Nova&quot;"/>
        <b/>
        <i/>
        <color rgb="FF0071CE"/>
        <u/>
      </rPr>
      <t>https://www.asus.com/us/support/customer-self-repair/</t>
    </r>
  </si>
  <si>
    <t>Replacement part pricing / availability</t>
  </si>
  <si>
    <r>
      <rPr>
        <rFont val="&quot;Proxima Nova&quot;"/>
        <b/>
        <i/>
        <color rgb="FF0071CE"/>
      </rPr>
      <t xml:space="preserve">Googling turns up a whole separate site for spare parts, most of which are out of stock, but it appears this may be a legitimate authorized parts source. Unfortunately I can find no reference to it on the official support site, so as of now this does not qualify for scoring:
</t>
    </r>
    <r>
      <rPr>
        <rFont val="&quot;Proxima Nova&quot;"/>
        <b/>
        <i/>
        <color rgb="FF0071CE"/>
        <u/>
      </rPr>
      <t>https://partshop.asus.com/us/</t>
    </r>
  </si>
  <si>
    <t>Ratio of 
Part Price / MSRP</t>
  </si>
  <si>
    <t>Credit Awarded</t>
  </si>
  <si>
    <t>Weighted Total</t>
  </si>
  <si>
    <t>Price</t>
  </si>
  <si>
    <t xml:space="preserve">  Part</t>
  </si>
  <si>
    <r>
      <rPr>
        <rFont val="&quot;Proxima Nova&quot;"/>
        <b/>
        <color rgb="FF434343"/>
      </rPr>
      <t xml:space="preserve">Standard 
Part
</t>
    </r>
    <r>
      <rPr>
        <rFont val="&quot;Proxima Nova&quot;"/>
        <b val="0"/>
        <color rgb="FF434343"/>
      </rPr>
      <t>(or N/A)</t>
    </r>
  </si>
  <si>
    <t>Not 
For Sale</t>
  </si>
  <si>
    <r>
      <rPr>
        <rFont val="&quot;Proxima Nova&quot;"/>
        <i/>
        <color theme="1"/>
      </rPr>
      <t xml:space="preserve">Checking "Standard Part (or N/A)" indicates the device either uses a widely available off-the-shelf or commodity part like a AA battery, m.2 SSD, etc., or else has eliminated the scored component from the design (e.g. a fanless laptop). This awards full credit automagically and </t>
    </r>
    <r>
      <rPr>
        <rFont val="&quot;Proxima Nova&quot;"/>
        <b/>
        <i/>
        <color theme="1"/>
      </rPr>
      <t>"Price" is not required (and will be ignored).</t>
    </r>
    <r>
      <rPr>
        <rFont val="&quot;Proxima Nova&quot;"/>
        <i/>
        <color theme="1"/>
      </rPr>
      <t xml:space="preserve">
Checking "Not For Sale" indicates a custom or proprietary part that is not readily available for sale from the OEM or authorized 3rd party at the time of the assessment. </t>
    </r>
    <r>
      <rPr>
        <rFont val="&quot;Proxima Nova&quot;"/>
        <b/>
        <i/>
        <color theme="1"/>
      </rPr>
      <t>This incurs a penalty.
Note</t>
    </r>
    <r>
      <rPr>
        <rFont val="&quot;Proxima Nova&quot;"/>
        <i/>
        <color theme="1"/>
      </rPr>
      <t xml:space="preserve">: If a component is only available as part of a larger assembly, enter the price of the assembly rather than marking the part "not for sale." (e.g. if RAM or storage is soldered to the motherboard, enter the price of the entire motherboard.) </t>
    </r>
    <r>
      <rPr>
        <rFont val="&quot;Proxima Nova&quot;"/>
        <b/>
        <i/>
        <color theme="1"/>
      </rPr>
      <t>This includes soldered LPDDR.</t>
    </r>
    <r>
      <rPr>
        <rFont val="&quot;Proxima Nova&quot;"/>
        <i/>
        <color theme="1"/>
      </rPr>
      <t xml:space="preserve"> If a component is truly not applicable—for example, a fanless laptop design where there is no fan to ever fail or need replacing—check "Standard Part" for automatic full credit.</t>
    </r>
  </si>
  <si>
    <t>3.2a</t>
  </si>
  <si>
    <t>3.2b</t>
  </si>
  <si>
    <t>3.2c</t>
  </si>
  <si>
    <t>3.2d</t>
  </si>
  <si>
    <t>3.2e</t>
  </si>
  <si>
    <t>3.2f</t>
  </si>
  <si>
    <t>M.2 SSD</t>
  </si>
  <si>
    <t>3.2g</t>
  </si>
  <si>
    <t xml:space="preserve">  Parts Subtotal</t>
  </si>
  <si>
    <t>Tools</t>
  </si>
  <si>
    <t>Tool Utilized</t>
  </si>
  <si>
    <t>Tool Score</t>
  </si>
  <si>
    <t>Used in [X]
Procedures</t>
  </si>
  <si>
    <t>Total Number
of Uses</t>
  </si>
  <si>
    <t>Tools criterion is primarily about availability, including cost and convenience of access. In all cases the technician should default to basic (Class A) tools, using more expensive/specialized tools only when necessary.</t>
  </si>
  <si>
    <t>This list auto-populates based on tool entries in Disassembly + Reassembly Actions, below.</t>
  </si>
  <si>
    <t>Note: Tools Subtotal is for reference only. Individual tool scores are incorporated into each procedure.</t>
  </si>
  <si>
    <t xml:space="preserve">  Tools Subtotal</t>
  </si>
  <si>
    <t>Parts Pairing</t>
  </si>
  <si>
    <t>Result</t>
  </si>
  <si>
    <t>Add'l Penalty</t>
  </si>
  <si>
    <t>Warning Penalty</t>
  </si>
  <si>
    <t>Other</t>
  </si>
  <si>
    <t>Component</t>
  </si>
  <si>
    <t>Result After Motherboard Swap</t>
  </si>
  <si>
    <t>Includes 
Warning</t>
  </si>
  <si>
    <t xml:space="preserve">All parts swaps are tested simultaneously, via a motherboard swap from an identical device. We test only OEM parts, not aftermarket. Note: We'll revise scores upward if we confirm that a previously known pairing has been resolved by the OEM via software update. </t>
  </si>
  <si>
    <r>
      <rPr>
        <rFont val="Proxima Nova"/>
        <i/>
        <color rgb="FF434343"/>
      </rPr>
      <t xml:space="preserve">  </t>
    </r>
    <r>
      <rPr>
        <rFont val="Proxima Nova"/>
        <b/>
        <i/>
        <color rgb="FF434343"/>
      </rPr>
      <t>Part Fully Functional</t>
    </r>
    <r>
      <rPr>
        <rFont val="Proxima Nova"/>
        <i/>
        <color rgb="FF434343"/>
      </rPr>
      <t>: No scoring impact. This is a normal repair.</t>
    </r>
  </si>
  <si>
    <r>
      <rPr>
        <rFont val="Proxima Nova"/>
        <i/>
        <color rgb="FF434343"/>
      </rPr>
      <t xml:space="preserve">  </t>
    </r>
    <r>
      <rPr>
        <rFont val="Proxima Nova"/>
        <b/>
        <i/>
        <color rgb="FF434343"/>
      </rPr>
      <t>Part Partially Functional</t>
    </r>
    <r>
      <rPr>
        <rFont val="Proxima Nova"/>
        <i/>
        <color rgb="FF434343"/>
      </rPr>
      <t>: -50% penalty applied to any points otherwise awarded for this repair.</t>
    </r>
  </si>
  <si>
    <r>
      <rPr>
        <rFont val="Proxima Nova"/>
        <i/>
        <color rgb="FF434343"/>
      </rPr>
      <t xml:space="preserve"> </t>
    </r>
    <r>
      <rPr>
        <rFont val="Proxima Nova"/>
        <b/>
        <i/>
        <color rgb="FF434343"/>
      </rPr>
      <t xml:space="preserve"> Part Nonfunctional</t>
    </r>
    <r>
      <rPr>
        <rFont val="Proxima Nova"/>
        <i/>
        <color rgb="FF434343"/>
      </rPr>
      <t>: All points removed for this repair. This is the same as non-repairable.</t>
    </r>
  </si>
  <si>
    <r>
      <rPr>
        <rFont val="Proxima Nova"/>
        <i/>
        <color rgb="FF434343"/>
      </rPr>
      <t xml:space="preserve"> </t>
    </r>
    <r>
      <rPr>
        <rFont val="Proxima Nova"/>
        <b/>
        <i/>
        <color rgb="FF434343"/>
      </rPr>
      <t xml:space="preserve"> Device Nonfunctional</t>
    </r>
    <r>
      <rPr>
        <rFont val="Proxima Nova"/>
        <i/>
        <color rgb="FF434343"/>
      </rPr>
      <t>: No points for this repair, and additional half point penalty applied to the entire score.</t>
    </r>
  </si>
  <si>
    <r>
      <rPr>
        <rFont val="Proxima Nova"/>
        <i/>
        <color rgb="FF434343"/>
      </rPr>
      <t xml:space="preserve"> </t>
    </r>
    <r>
      <rPr>
        <rFont val="Proxima Nova"/>
        <b/>
        <i/>
        <color rgb="FF434343"/>
      </rPr>
      <t xml:space="preserve"> Includes Warning</t>
    </r>
    <r>
      <rPr>
        <rFont val="Proxima Nova"/>
        <i/>
        <color rgb="FF434343"/>
      </rPr>
      <t>: -25% penalty applied to this repair, in addition to any penalties applied above.</t>
    </r>
  </si>
  <si>
    <t xml:space="preserve">  Biometrics (if applicable)—fingerprint reader, Face ID, etc.</t>
  </si>
  <si>
    <t xml:space="preserve">  Separate global penalty—see §10.0</t>
  </si>
  <si>
    <t xml:space="preserve">  Other? (if applicable)</t>
  </si>
  <si>
    <t>Design for Repair</t>
  </si>
  <si>
    <t>Jeff S.</t>
  </si>
  <si>
    <t>Technician Name</t>
  </si>
  <si>
    <r>
      <rPr>
        <rFont val="Proxima Nova"/>
        <i/>
        <color theme="1"/>
      </rPr>
      <t xml:space="preserve">For each scored component below, list the tools + actions required for disassembly and removal, beginning with a complete device. If a nonstandard action is required, enter a description and manually record elapsed time in seconds for both disassembly and reassembly. 
</t>
    </r>
    <r>
      <rPr>
        <rFont val="Proxima Nova"/>
        <b/>
        <i/>
        <color theme="1"/>
      </rPr>
      <t>Warning</t>
    </r>
    <r>
      <rPr>
        <rFont val="Proxima Nova"/>
        <i/>
        <color theme="1"/>
      </rPr>
      <t>: Avoid leaving blank lines in the middle of actions lists. Every time there’s a tool change, the scorecard adds a little time penalty. It does this by comparing the tool on the current line vs. the line above. Blank lines at the bottom are fine, but a blank line mid-procedure creates extra tool “changes” that don’t exist, since a blank line won’t match the lines above or below.</t>
    </r>
  </si>
  <si>
    <t>Scored Component 1, as defined on the Scored Components + Weights worksheet. (This field auto-populates based on the product group specified in §1.2 above.)</t>
  </si>
  <si>
    <t>Part not accessible</t>
  </si>
  <si>
    <r>
      <rPr>
        <rFont val="Proxima Nova"/>
        <i/>
        <color theme="1"/>
      </rPr>
      <t xml:space="preserve">Check this box if the part is physically impossible/impractical to access for DIY repair (e.g. requires board-level repair, microsoldering, etc.), or if the disassembly procedure is irreversibly destructive. </t>
    </r>
    <r>
      <rPr>
        <rFont val="Proxima Nova"/>
        <b/>
        <i/>
        <color theme="1"/>
      </rPr>
      <t>This incurs a penalty.</t>
    </r>
  </si>
  <si>
    <t>Repair not applicable for this device</t>
  </si>
  <si>
    <r>
      <rPr>
        <rFont val="Proxima Nova"/>
        <i/>
        <color theme="1"/>
      </rPr>
      <t xml:space="preserve">Check this box if the part is external (e.g. power brick instead of internal PSU) or otherwise not physically present in the device. In rare cases, repair may not apply for design/technology reasons. </t>
    </r>
    <r>
      <rPr>
        <rFont val="Proxima Nova"/>
        <b/>
        <i/>
        <color theme="1"/>
      </rPr>
      <t>This incurs no penalty per se,</t>
    </r>
    <r>
      <rPr>
        <rFont val="Proxima Nova"/>
        <i/>
        <color theme="1"/>
      </rPr>
      <t xml:space="preserve"> but may reduce the elapsed time allowed for all repairs due to the presence of fewer scored components.</t>
    </r>
  </si>
  <si>
    <t>Tool Change</t>
  </si>
  <si>
    <t>Action Score (Standard)</t>
  </si>
  <si>
    <t>Action Score (Manual)</t>
  </si>
  <si>
    <t>Action Score × Tool Score</t>
  </si>
  <si>
    <t>Tool</t>
  </si>
  <si>
    <t>Action</t>
  </si>
  <si>
    <t>QTY</t>
  </si>
  <si>
    <t>Manual Entry: Disassembly</t>
  </si>
  <si>
    <t>Manual Entry: Reassembly</t>
  </si>
  <si>
    <t>Hand</t>
  </si>
  <si>
    <t>Grab &amp; remove (or reposition)</t>
  </si>
  <si>
    <t>Open kickstand</t>
  </si>
  <si>
    <t>Screwdriver: Torx T5</t>
  </si>
  <si>
    <t>Unscrew</t>
  </si>
  <si>
    <t>Flip device over</t>
  </si>
  <si>
    <t>Combo: Pick + Suction</t>
  </si>
  <si>
    <t>Unclip / release clip (no adhesive)</t>
  </si>
  <si>
    <t>Close kickstand</t>
  </si>
  <si>
    <t>Lift display and hold (still attached)</t>
  </si>
  <si>
    <t>Tweezers</t>
  </si>
  <si>
    <t>Disconnect – ZIF (unlatch)</t>
  </si>
  <si>
    <t>Disconnect – pop/press connector</t>
  </si>
  <si>
    <t xml:space="preserve">Disconnect battery </t>
  </si>
  <si>
    <t>Disconnect – ZIF (remove cable)</t>
  </si>
  <si>
    <t>Disconnect touch panel</t>
  </si>
  <si>
    <t>Deglue – peel sticker/mild adhesive</t>
  </si>
  <si>
    <t>Disconnect – ZIF (unlatch &amp; remove)</t>
  </si>
  <si>
    <t>Disconnect display</t>
  </si>
  <si>
    <t>Remove (or reposition) (after already grabbed)</t>
  </si>
  <si>
    <t>Remove display assembly</t>
  </si>
  <si>
    <t>9.5a</t>
  </si>
  <si>
    <t>Scored Component 1 Subtotal</t>
  </si>
  <si>
    <t>Scored Component 2, as defined on the Scored Components + Weights worksheet. (This field auto-populates based on the product group specified in §1.2 above.)</t>
  </si>
  <si>
    <r>
      <rPr>
        <rFont val="Proxima Nova"/>
        <i/>
        <color theme="1"/>
      </rPr>
      <t xml:space="preserve">Check this box if the part is physically impossible/impractical to access for DIY repair (e.g. requires board-level repair, microsoldering, etc.), or if the disassembly procedure is irreversibly destructive. </t>
    </r>
    <r>
      <rPr>
        <rFont val="Proxima Nova"/>
        <b/>
        <i/>
        <color theme="1"/>
      </rPr>
      <t>This incurs a penalty.</t>
    </r>
  </si>
  <si>
    <r>
      <rPr>
        <rFont val="Proxima Nova"/>
        <i/>
        <color theme="1"/>
      </rPr>
      <t xml:space="preserve">Check this box if the part is external (e.g. power brick instead of internal PSU) or otherwise not physically present in the device. In rare cases, repair may not apply for design/technology reasons. </t>
    </r>
    <r>
      <rPr>
        <rFont val="Proxima Nova"/>
        <b/>
        <i/>
        <color theme="1"/>
      </rPr>
      <t>This incurs no penalty per se,</t>
    </r>
    <r>
      <rPr>
        <rFont val="Proxima Nova"/>
        <i/>
        <color theme="1"/>
      </rPr>
      <t xml:space="preserve"> but may reduce the elapsed time allowed for all repairs due to the presence of fewer scored components.</t>
    </r>
  </si>
  <si>
    <t>Disconnect smart connector</t>
  </si>
  <si>
    <t>Peel up flex cable from battery</t>
  </si>
  <si>
    <t>Fold smart connector flex cable gently aside</t>
  </si>
  <si>
    <t>Screwdriver: Phillips 0</t>
  </si>
  <si>
    <t>Remove battery screws</t>
  </si>
  <si>
    <t>Remove battery</t>
  </si>
  <si>
    <t>9.5b</t>
  </si>
  <si>
    <t>Scored Component 2 Subtotal</t>
  </si>
  <si>
    <t>Scored Component 3, as defined on the Scored Components + Weights worksheet. (This field auto-populates based on the product group specified in §1.2 above.)</t>
  </si>
  <si>
    <t>Primary charge port and both USB-C ports all soldered to main board</t>
  </si>
  <si>
    <r>
      <rPr>
        <rFont val="Proxima Nova"/>
        <i/>
        <color theme="1"/>
      </rPr>
      <t xml:space="preserve">Check this box if the part is external (e.g. power brick instead of internal PSU) or otherwise not physically present in the device. In rare cases, repair may not apply for design/technology reasons. </t>
    </r>
    <r>
      <rPr>
        <rFont val="Proxima Nova"/>
        <b/>
        <i/>
        <color theme="1"/>
      </rPr>
      <t>This incurs no penalty per se,</t>
    </r>
    <r>
      <rPr>
        <rFont val="Proxima Nova"/>
        <i/>
        <color theme="1"/>
      </rPr>
      <t xml:space="preserve"> but may reduce the elapsed time allowed for all repairs due to the presence of fewer scored components.</t>
    </r>
  </si>
  <si>
    <t>9.5c</t>
  </si>
  <si>
    <t>Scored Component 3 Subtotal</t>
  </si>
  <si>
    <t>Scored Component 4, as defined on the Scored Components + Weights worksheet. (This field auto-populates based on the product group specified in §1.2 above.)</t>
  </si>
  <si>
    <r>
      <rPr>
        <rFont val="Proxima Nova"/>
        <i/>
        <color theme="1"/>
      </rPr>
      <t xml:space="preserve">Check this box if the part is physically impossible/impractical to access for DIY repair (e.g. requires board-level repair, microsoldering, etc.), or if the disassembly procedure is irreversibly destructive. </t>
    </r>
    <r>
      <rPr>
        <rFont val="Proxima Nova"/>
        <b/>
        <i/>
        <color theme="1"/>
      </rPr>
      <t>This incurs a penalty.</t>
    </r>
  </si>
  <si>
    <r>
      <rPr>
        <rFont val="Proxima Nova"/>
        <i/>
        <color theme="1"/>
      </rPr>
      <t xml:space="preserve">Check this box if the part is external (e.g. power brick instead of internal PSU) or otherwise not physically present in the device. In rare cases, repair may not apply for design/technology reasons. </t>
    </r>
    <r>
      <rPr>
        <rFont val="Proxima Nova"/>
        <b/>
        <i/>
        <color theme="1"/>
      </rPr>
      <t>This incurs no penalty per se,</t>
    </r>
    <r>
      <rPr>
        <rFont val="Proxima Nova"/>
        <i/>
        <color theme="1"/>
      </rPr>
      <t xml:space="preserve"> but may reduce the elapsed time allowed for all repairs due to the presence of fewer scored components.</t>
    </r>
  </si>
  <si>
    <t>Spudger</t>
  </si>
  <si>
    <t>Disconnect selfie camera assembly</t>
  </si>
  <si>
    <t>Pry – lever (2 moves)</t>
  </si>
  <si>
    <t>Pry up at both sides</t>
  </si>
  <si>
    <t>Remove selfie cam assembly</t>
  </si>
  <si>
    <t>9.5d</t>
  </si>
  <si>
    <t>Scored Component 4 Subtotal</t>
  </si>
  <si>
    <t>Scored Component 5, as defined on the Scored Components + Weights worksheet. (This field auto-populates based on the product group specified in §1.2 above.)</t>
  </si>
  <si>
    <r>
      <rPr>
        <rFont val="Proxima Nova"/>
        <i/>
        <color theme="1"/>
      </rPr>
      <t xml:space="preserve">Check this box if the part is physically impossible/impractical to access for DIY repair (e.g. requires board-level repair, microsoldering, etc.), or if the disassembly procedure is irreversibly destructive. </t>
    </r>
    <r>
      <rPr>
        <rFont val="Proxima Nova"/>
        <b/>
        <i/>
        <color theme="1"/>
      </rPr>
      <t>This incurs a penalty.</t>
    </r>
  </si>
  <si>
    <r>
      <rPr>
        <rFont val="Proxima Nova"/>
        <i/>
        <color theme="1"/>
      </rPr>
      <t xml:space="preserve">Check this box if the part is external (e.g. power brick instead of internal PSU) or otherwise not physically present in the device. In rare cases, repair may not apply for design/technology reasons. </t>
    </r>
    <r>
      <rPr>
        <rFont val="Proxima Nova"/>
        <b/>
        <i/>
        <color theme="1"/>
      </rPr>
      <t>This incurs no penalty per se,</t>
    </r>
    <r>
      <rPr>
        <rFont val="Proxima Nova"/>
        <i/>
        <color theme="1"/>
      </rPr>
      <t xml:space="preserve"> but may reduce the elapsed time allowed for all repairs due to the presence of fewer scored components.</t>
    </r>
  </si>
  <si>
    <t>Disconnect both sides of flex cable</t>
  </si>
  <si>
    <t>Remove flex cable</t>
  </si>
  <si>
    <t>Disconnect rear camera</t>
  </si>
  <si>
    <t>Remove rear camera assembly</t>
  </si>
  <si>
    <t>9.5e</t>
  </si>
  <si>
    <t>Scored Component 5 Subtotal</t>
  </si>
  <si>
    <t>Scored Component 6, as defined on the Scored Components + Weights worksheet. (This field auto-populates based on the product group specified in §1.2 above.)</t>
  </si>
  <si>
    <r>
      <rPr>
        <rFont val="Proxima Nova"/>
        <i/>
        <color theme="1"/>
      </rPr>
      <t xml:space="preserve">Check this box if the part is physically impossible/impractical to access for DIY repair (e.g. requires board-level repair, microsoldering, etc.), or if the disassembly procedure is irreversibly destructive. </t>
    </r>
    <r>
      <rPr>
        <rFont val="Proxima Nova"/>
        <b/>
        <i/>
        <color theme="1"/>
      </rPr>
      <t>This incurs a penalty.</t>
    </r>
  </si>
  <si>
    <r>
      <rPr>
        <rFont val="Proxima Nova"/>
        <i/>
        <color theme="1"/>
      </rPr>
      <t xml:space="preserve">Check this box if the part is external (e.g. power brick instead of internal PSU) or otherwise not physically present in the device. In rare cases, repair may not apply for design/technology reasons. </t>
    </r>
    <r>
      <rPr>
        <rFont val="Proxima Nova"/>
        <b/>
        <i/>
        <color theme="1"/>
      </rPr>
      <t>This incurs no penalty per se,</t>
    </r>
    <r>
      <rPr>
        <rFont val="Proxima Nova"/>
        <i/>
        <color theme="1"/>
      </rPr>
      <t xml:space="preserve"> but may reduce the elapsed time allowed for all repairs due to the presence of fewer scored components.</t>
    </r>
  </si>
  <si>
    <t>Remove M.2 cover (labeled)</t>
  </si>
  <si>
    <t>Remove SSD screw</t>
  </si>
  <si>
    <t>Slide out SSD</t>
  </si>
  <si>
    <t>Remove SSD</t>
  </si>
  <si>
    <t>9.5f</t>
  </si>
  <si>
    <t>Scored Component 6 Subtotal</t>
  </si>
  <si>
    <t>Scored Component 7, as defined on the Scored Components + Weights worksheet. (This field auto-populates based on the product group specified in §1.2 above.)</t>
  </si>
  <si>
    <r>
      <rPr>
        <rFont val="Proxima Nova"/>
        <i/>
        <color theme="1"/>
      </rPr>
      <t xml:space="preserve">Check this box if the part is physically impossible/impractical to access for DIY repair (e.g. requires board-level repair, microsoldering, etc.), or if the disassembly procedure is irreversibly destructive. </t>
    </r>
    <r>
      <rPr>
        <rFont val="Proxima Nova"/>
        <b/>
        <i/>
        <color theme="1"/>
      </rPr>
      <t>This incurs a penalty.</t>
    </r>
  </si>
  <si>
    <r>
      <rPr>
        <rFont val="Proxima Nova"/>
        <i/>
        <color theme="1"/>
      </rPr>
      <t xml:space="preserve">Check this box if the part is external (e.g. power brick instead of internal PSU) or otherwise not physically present in the device. In rare cases, repair may not apply for design/technology reasons. </t>
    </r>
    <r>
      <rPr>
        <rFont val="Proxima Nova"/>
        <b/>
        <i/>
        <color theme="1"/>
      </rPr>
      <t>This incurs no penalty per se,</t>
    </r>
    <r>
      <rPr>
        <rFont val="Proxima Nova"/>
        <i/>
        <color theme="1"/>
      </rPr>
      <t xml:space="preserve"> but may reduce the elapsed time allowed for all repairs due to the presence of fewer scored components.</t>
    </r>
  </si>
  <si>
    <t>9.5g</t>
  </si>
  <si>
    <t>Scored Component 7 Subtotal</t>
  </si>
  <si>
    <t>Summary</t>
  </si>
  <si>
    <t>Scorecard Version No.</t>
  </si>
  <si>
    <t>Date of Scoring Calculation</t>
  </si>
  <si>
    <t>COMPLETE</t>
  </si>
  <si>
    <t>Status</t>
  </si>
  <si>
    <t>Documentation</t>
  </si>
  <si>
    <t>Disassembly + Reassembly Tools/Actions</t>
  </si>
  <si>
    <t>a</t>
  </si>
  <si>
    <t>Weighted Disassembly + Reassembly Score</t>
  </si>
  <si>
    <t>Repairability Score</t>
  </si>
  <si>
    <r>
      <rPr>
        <rFont val="Proxima Nova"/>
        <color rgb="FFB7B7B7"/>
        <sz val="9.0"/>
      </rPr>
      <t xml:space="preserve">↩️ </t>
    </r>
    <r>
      <rPr>
        <rFont val="Proxima Nova"/>
        <color rgb="FFB7B7B7"/>
        <sz val="9.0"/>
        <u/>
      </rPr>
      <t>Back to (Main) Summary</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</si>
</sst>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0.0"/>
    <numFmt numFmtId="166" formatCode="M/d/yyyy"/>
    <numFmt numFmtId="167" formatCode="0.0"/>
  </numFmts>
  <fonts count="42">
    <font>
      <sz val="10.0"/>
      <color rgb="FF000000"/>
      <name val="Arial"/>
      <scheme val="minor"/>
    </font>
    <font>
      <color rgb="FFCCCCCC"/>
      <name val="Proxima Nova"/>
    </font>
    <font>
      <b/>
      <color rgb="FF00FFFF"/>
      <name val="Proxima Nova"/>
    </font>
    <font>
      <b/>
      <color rgb="FFF3F3F3"/>
      <name val="Proxima Nova"/>
    </font>
    <font/>
    <font>
      <color rgb="FF434343"/>
      <name val="Proxima Nova"/>
    </font>
    <font>
      <b/>
      <color rgb="FF434343"/>
      <name val="Proxima Nova"/>
    </font>
    <font>
      <b/>
      <sz val="9.0"/>
      <color rgb="FFFF0000"/>
      <name val="Proxima Nova"/>
    </font>
    <font>
      <sz val="9.0"/>
      <color rgb="FFB7B7B7"/>
      <name val="Proxima Nova"/>
    </font>
    <font>
      <color theme="1"/>
      <name val="&quot;Proxima Nova&quot;"/>
    </font>
    <font>
      <color rgb="FF434343"/>
      <name val="&quot;Proxima Nova&quot;"/>
    </font>
    <font>
      <b/>
      <i/>
      <color rgb="FF0071CE"/>
      <name val="&quot;Proxima Nova&quot;"/>
    </font>
    <font>
      <i/>
      <color rgb="FF434343"/>
      <name val="&quot;Proxima Nova&quot;"/>
    </font>
    <font>
      <color theme="1"/>
      <name val="Proxima Nova"/>
    </font>
    <font>
      <b/>
      <i/>
      <u/>
      <color rgb="FF0071CE"/>
      <name val="&quot;Proxima Nova&quot;"/>
    </font>
    <font>
      <color rgb="FF434343"/>
      <name val="Arial"/>
    </font>
    <font>
      <color rgb="FF666666"/>
      <name val="&quot;Proxima Nova&quot;"/>
    </font>
    <font>
      <b/>
      <color rgb="FF434343"/>
      <name val="&quot;Proxima Nova&quot;"/>
    </font>
    <font>
      <i/>
      <color theme="1"/>
      <name val="&quot;Proxima Nova&quot;"/>
    </font>
    <font>
      <i/>
      <color rgb="FFFF0000"/>
      <name val="&quot;Proxima Nova&quot;"/>
    </font>
    <font>
      <i/>
      <color rgb="FF0071CE"/>
      <name val="&quot;Proxima Nova&quot;"/>
    </font>
    <font>
      <b/>
      <color rgb="FF999999"/>
      <name val="Proxima Nova"/>
    </font>
    <font>
      <b/>
      <color rgb="FF666666"/>
      <name val="Proxima Nova"/>
    </font>
    <font>
      <i/>
      <color theme="1"/>
      <name val="Proxima Nova"/>
    </font>
    <font>
      <color rgb="FF666666"/>
      <name val="Proxima Nova"/>
    </font>
    <font>
      <color theme="1"/>
      <name val="Arial"/>
    </font>
    <font>
      <sz val="9.0"/>
      <color rgb="FF434343"/>
      <name val="Proxima Nova"/>
    </font>
    <font>
      <i/>
      <color rgb="FF434343"/>
      <name val="Proxima Nova"/>
    </font>
    <font>
      <color rgb="FF999999"/>
      <name val="Proxima Nova"/>
    </font>
    <font>
      <b/>
      <i/>
      <color theme="1"/>
      <name val="Proxima Nova"/>
    </font>
    <font>
      <b/>
      <i/>
      <color rgb="FF0071CE"/>
      <name val="Proxima Nova"/>
    </font>
    <font>
      <sz val="9.0"/>
      <color rgb="FFCCCCCC"/>
      <name val="Proxima Nova"/>
    </font>
    <font>
      <sz val="10.0"/>
      <color rgb="FF434343"/>
      <name val="Proxima Nova"/>
    </font>
    <font>
      <sz val="8.0"/>
      <color rgb="FFB7B7B7"/>
      <name val="Proxima Nova"/>
    </font>
    <font>
      <sz val="9.0"/>
      <color rgb="FF434343"/>
      <name val="&quot;Proxima Nova&quot;"/>
    </font>
    <font>
      <i/>
      <sz val="9.0"/>
      <color rgb="FF666666"/>
      <name val="Proxima Nova"/>
    </font>
    <font>
      <b/>
      <sz val="9.0"/>
      <color rgb="FF434343"/>
      <name val="&quot;Proxima Nova&quot;"/>
    </font>
    <font>
      <i/>
      <sz val="10.0"/>
      <color rgb="FF666666"/>
      <name val="Proxima Nova"/>
    </font>
    <font>
      <b/>
      <sz val="12.0"/>
      <color rgb="FF0071CE"/>
      <name val="Proxima Nova"/>
    </font>
    <font>
      <b/>
      <sz val="10.0"/>
      <color rgb="FF0071CE"/>
      <name val="Proxima Nova"/>
    </font>
    <font>
      <sz val="10.0"/>
      <color rgb="FFB7B7B7"/>
      <name val="Proxima Nova"/>
    </font>
    <font>
      <u/>
      <sz val="9.0"/>
      <color rgb="FFB7B7B7"/>
      <name val="Proxima Nova"/>
    </font>
  </fonts>
  <fills count="6">
    <fill>
      <patternFill patternType="none"/>
    </fill>
    <fill>
      <patternFill patternType="lightGray"/>
    </fill>
    <fill>
      <patternFill patternType="solid">
        <fgColor rgb="FF0071CE"/>
        <bgColor rgb="FF0071CE"/>
      </patternFill>
    </fill>
    <fill>
      <patternFill patternType="solid">
        <fgColor rgb="FFD9D9D9"/>
        <bgColor rgb="FFD9D9D9"/>
      </patternFill>
    </fill>
    <fill>
      <patternFill patternType="solid">
        <fgColor rgb="FFF3F3F3"/>
        <bgColor rgb="FFF3F3F3"/>
      </patternFill>
    </fill>
    <fill>
      <patternFill patternType="solid">
        <fgColor rgb="FFF1F9FF"/>
        <bgColor rgb="FFF1F9FF"/>
      </patternFill>
    </fill>
  </fills>
  <borders count="30">
    <border/>
    <border>
      <bottom style="thin">
        <color rgb="FFD9D9D9"/>
      </bottom>
    </border>
    <border>
      <right style="thin">
        <color rgb="FFD9D9D9"/>
      </right>
      <bottom style="thin">
        <color rgb="FFB7B7B7"/>
      </bottom>
    </border>
    <border>
      <left style="thin">
        <color rgb="FFD9D9D9"/>
      </left>
      <right style="thin">
        <color rgb="FFD9D9D9"/>
      </right>
      <bottom style="thin">
        <color rgb="FFB7B7B7"/>
      </bottom>
    </border>
    <border>
      <left style="thin">
        <color rgb="FFD9D9D9"/>
      </left>
      <bottom style="thin">
        <color rgb="FFB7B7B7"/>
      </bottom>
    </border>
    <border>
      <right style="thin">
        <color rgb="FFF3F3F3"/>
      </right>
      <bottom style="thin">
        <color rgb="FFF3F3F3"/>
      </bottom>
    </border>
    <border>
      <left style="thin">
        <color rgb="FFF3F3F3"/>
      </left>
      <right style="thin">
        <color rgb="FFF3F3F3"/>
      </right>
      <bottom style="thin">
        <color rgb="FFF3F3F3"/>
      </bottom>
    </border>
    <border>
      <left style="thin">
        <color rgb="FFF3F3F3"/>
      </left>
      <bottom style="thin">
        <color rgb="FFF3F3F3"/>
      </bottom>
    </border>
    <border>
      <left style="thin">
        <color rgb="FFD9D9D9"/>
      </left>
    </border>
    <border>
      <right style="thin">
        <color rgb="FFF3F3F3"/>
      </right>
    </border>
    <border>
      <left style="thin">
        <color rgb="FFF3F3F3"/>
      </left>
      <right style="thin">
        <color rgb="FFF3F3F3"/>
      </right>
    </border>
    <border>
      <left style="thin">
        <color rgb="FFF3F3F3"/>
      </left>
    </border>
    <border>
      <right style="thin">
        <color rgb="FFF3F3F3"/>
      </right>
      <top style="thin">
        <color rgb="FFF3F3F3"/>
      </top>
      <bottom style="thin">
        <color rgb="FFF3F3F3"/>
      </bottom>
    </border>
    <border>
      <left style="thin">
        <color rgb="FFF3F3F3"/>
      </left>
      <right style="thin">
        <color rgb="FFF3F3F3"/>
      </right>
      <top style="thin">
        <color rgb="FFF3F3F3"/>
      </top>
      <bottom style="thin">
        <color rgb="FFF3F3F3"/>
      </bottom>
    </border>
    <border>
      <left style="thin">
        <color rgb="FFF3F3F3"/>
      </left>
      <top style="thin">
        <color rgb="FFF3F3F3"/>
      </top>
      <bottom style="thin">
        <color rgb="FFF3F3F3"/>
      </bottom>
    </border>
    <border>
      <right style="thin">
        <color rgb="FFF3F3F3"/>
      </right>
      <top style="thin">
        <color rgb="FFF3F3F3"/>
      </top>
    </border>
    <border>
      <left style="thin">
        <color rgb="FFF3F3F3"/>
      </left>
      <right style="thin">
        <color rgb="FFF3F3F3"/>
      </right>
      <top style="thin">
        <color rgb="FFF3F3F3"/>
      </top>
    </border>
    <border>
      <left style="thin">
        <color rgb="FFF3F3F3"/>
      </left>
      <top style="thin">
        <color rgb="FFF3F3F3"/>
      </top>
    </border>
    <border>
      <right style="thin">
        <color rgb="FFF3F3F3"/>
      </right>
      <top style="thin">
        <color rgb="FFD9D9D9"/>
      </top>
      <bottom style="thin">
        <color rgb="FFD9D9D9"/>
      </bottom>
    </border>
    <border>
      <left style="thin">
        <color rgb="FFF3F3F3"/>
      </left>
      <right style="thin">
        <color rgb="FFF3F3F3"/>
      </right>
      <top style="thin">
        <color rgb="FFD9D9D9"/>
      </top>
      <bottom style="thin">
        <color rgb="FFD9D9D9"/>
      </bottom>
    </border>
    <border>
      <left style="thin">
        <color rgb="FFF3F3F3"/>
      </left>
      <top style="thin">
        <color rgb="FFD9D9D9"/>
      </top>
      <bottom style="thin">
        <color rgb="FFD9D9D9"/>
      </bottom>
    </border>
    <border>
      <right style="thin">
        <color rgb="FFF3F3F3"/>
      </right>
      <top style="thin">
        <color rgb="FFD9D9D9"/>
      </top>
      <bottom style="thin">
        <color rgb="FFB7B7B7"/>
      </bottom>
    </border>
    <border>
      <left style="thin">
        <color rgb="FFF3F3F3"/>
      </left>
      <right style="thin">
        <color rgb="FFF3F3F3"/>
      </right>
      <top style="thin">
        <color rgb="FFD9D9D9"/>
      </top>
      <bottom style="thin">
        <color rgb="FFB7B7B7"/>
      </bottom>
    </border>
    <border>
      <left style="thin">
        <color rgb="FFF3F3F3"/>
      </left>
      <top style="thin">
        <color rgb="FFD9D9D9"/>
      </top>
      <bottom style="thin">
        <color rgb="FFB7B7B7"/>
      </bottom>
    </border>
    <border>
      <right style="thin">
        <color rgb="FFF3F3F3"/>
      </right>
      <bottom style="thin">
        <color rgb="FFD9D9D9"/>
      </bottom>
    </border>
    <border>
      <left style="thin">
        <color rgb="FFF3F3F3"/>
      </left>
      <right style="thin">
        <color rgb="FFF3F3F3"/>
      </right>
      <bottom style="thin">
        <color rgb="FFD9D9D9"/>
      </bottom>
    </border>
    <border>
      <left style="thin">
        <color rgb="FFF3F3F3"/>
      </left>
      <bottom style="thin">
        <color rgb="FFD9D9D9"/>
      </bottom>
    </border>
    <border>
      <right style="thin">
        <color rgb="FFF3F3F3"/>
      </right>
      <top style="thin">
        <color rgb="FFD9D9D9"/>
      </top>
      <bottom style="thin">
        <color rgb="FFCCCCCC"/>
      </bottom>
    </border>
    <border>
      <left style="thin">
        <color rgb="FFF3F3F3"/>
      </left>
      <right style="thin">
        <color rgb="FFF3F3F3"/>
      </right>
      <top style="thin">
        <color rgb="FFD9D9D9"/>
      </top>
      <bottom style="thin">
        <color rgb="FFCCCCCC"/>
      </bottom>
    </border>
    <border>
      <left style="thin">
        <color rgb="FFF3F3F3"/>
      </left>
      <top style="thin">
        <color rgb="FFD9D9D9"/>
      </top>
      <bottom style="thin">
        <color rgb="FFCCCCCC"/>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2" numFmtId="0" xfId="0" applyAlignment="1" applyBorder="1" applyFont="1">
      <alignment horizontal="center" readingOrder="0"/>
    </xf>
    <xf borderId="1" fillId="2" fontId="3" numFmtId="0" xfId="0" applyAlignment="1" applyBorder="1" applyFont="1">
      <alignment readingOrder="0"/>
    </xf>
    <xf borderId="1" fillId="0" fontId="4" numFmtId="0" xfId="0" applyBorder="1" applyFont="1"/>
    <xf borderId="1" fillId="2" fontId="3" numFmtId="0" xfId="0" applyAlignment="1" applyBorder="1" applyFont="1">
      <alignment readingOrder="0" shrinkToFit="0" vertical="center" wrapText="1"/>
    </xf>
    <xf borderId="2" fillId="3" fontId="5" numFmtId="0" xfId="0" applyAlignment="1" applyBorder="1" applyFill="1" applyFont="1">
      <alignment horizontal="center" readingOrder="0" shrinkToFit="0" vertical="center" wrapText="0"/>
    </xf>
    <xf borderId="2" fillId="3" fontId="6" numFmtId="0" xfId="0" applyAlignment="1" applyBorder="1" applyFont="1">
      <alignment horizontal="center" readingOrder="0" shrinkToFit="0" vertical="center" wrapText="0"/>
    </xf>
    <xf borderId="2" fillId="3" fontId="6" numFmtId="0" xfId="0" applyAlignment="1" applyBorder="1" applyFont="1">
      <alignment readingOrder="0" shrinkToFit="0" vertical="center" wrapText="0"/>
    </xf>
    <xf borderId="3" fillId="3" fontId="6" numFmtId="0" xfId="0" applyAlignment="1" applyBorder="1" applyFont="1">
      <alignment readingOrder="0" shrinkToFit="0" vertical="center" wrapText="0"/>
    </xf>
    <xf borderId="4" fillId="3" fontId="6" numFmtId="0" xfId="0" applyAlignment="1" applyBorder="1" applyFont="1">
      <alignment readingOrder="0" shrinkToFit="0" vertical="center" wrapText="0"/>
    </xf>
    <xf borderId="5" fillId="4" fontId="7" numFmtId="0" xfId="0" applyAlignment="1" applyBorder="1" applyFill="1" applyFont="1">
      <alignment horizontal="center" readingOrder="0" shrinkToFit="0" vertical="center" wrapText="1"/>
    </xf>
    <xf borderId="6" fillId="4" fontId="7" numFmtId="0" xfId="0" applyAlignment="1" applyBorder="1" applyFont="1">
      <alignment horizontal="center" readingOrder="0" shrinkToFit="0" vertical="center" wrapText="1"/>
    </xf>
    <xf borderId="6" fillId="4" fontId="7" numFmtId="0" xfId="0" applyAlignment="1" applyBorder="1" applyFont="1">
      <alignment horizontal="center" readingOrder="0" shrinkToFit="0" vertical="center" wrapText="0"/>
    </xf>
    <xf borderId="7" fillId="4" fontId="7" numFmtId="0" xfId="0" applyAlignment="1" applyBorder="1" applyFont="1">
      <alignment horizontal="center" readingOrder="0" shrinkToFit="0" vertical="center" wrapText="1"/>
    </xf>
    <xf borderId="8" fillId="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9" fillId="4" fontId="10" numFmtId="0" xfId="0" applyAlignment="1" applyBorder="1" applyFont="1">
      <alignment readingOrder="0" vertical="center"/>
    </xf>
    <xf borderId="10" fillId="4" fontId="9" numFmtId="0" xfId="0" applyAlignment="1" applyBorder="1" applyFont="1">
      <alignment vertical="center"/>
    </xf>
    <xf borderId="11" fillId="4" fontId="9" numFmtId="0" xfId="0" applyAlignment="1" applyBorder="1" applyFont="1">
      <alignment vertical="center"/>
    </xf>
    <xf borderId="0" fillId="4" fontId="11" numFmtId="0" xfId="0" applyAlignment="1" applyFont="1">
      <alignment readingOrder="0" shrinkToFit="0" vertical="center" wrapText="1"/>
    </xf>
    <xf borderId="12" fillId="4" fontId="7" numFmtId="0" xfId="0" applyAlignment="1" applyBorder="1" applyFont="1">
      <alignment horizontal="center" readingOrder="0" shrinkToFit="0" vertical="center" wrapText="1"/>
    </xf>
    <xf borderId="13" fillId="4" fontId="7" numFmtId="0" xfId="0" applyAlignment="1" applyBorder="1" applyFont="1">
      <alignment horizontal="center" readingOrder="0" shrinkToFit="0" vertical="center" wrapText="1"/>
    </xf>
    <xf borderId="13" fillId="4" fontId="7" numFmtId="0" xfId="0" applyAlignment="1" applyBorder="1" applyFont="1">
      <alignment horizontal="center" readingOrder="0" shrinkToFit="0" vertical="center" wrapText="0"/>
    </xf>
    <xf borderId="14" fillId="4" fontId="7" numFmtId="0" xfId="0" applyAlignment="1" applyBorder="1" applyFont="1">
      <alignment horizontal="center" readingOrder="0" shrinkToFit="0" vertical="center" wrapText="1"/>
    </xf>
    <xf borderId="0" fillId="4" fontId="12" numFmtId="0" xfId="0" applyAlignment="1" applyFont="1">
      <alignment readingOrder="0" shrinkToFit="0" vertical="center" wrapText="1"/>
    </xf>
    <xf borderId="12" fillId="4" fontId="7" numFmtId="0" xfId="0" applyAlignment="1" applyBorder="1" applyFont="1">
      <alignment horizontal="center" readingOrder="0" shrinkToFit="0" vertical="top" wrapText="1"/>
    </xf>
    <xf borderId="13" fillId="4" fontId="7" numFmtId="0" xfId="0" applyAlignment="1" applyBorder="1" applyFont="1">
      <alignment horizontal="center" readingOrder="0" shrinkToFit="0" vertical="top" wrapText="1"/>
    </xf>
    <xf borderId="14" fillId="4" fontId="7" numFmtId="0" xfId="0" applyAlignment="1" applyBorder="1" applyFont="1">
      <alignment horizontal="center" readingOrder="0" shrinkToFit="0" vertical="top" wrapText="1"/>
    </xf>
    <xf borderId="0" fillId="5" fontId="9" numFmtId="0" xfId="0" applyAlignment="1" applyFill="1" applyFont="1">
      <alignment horizontal="center" readingOrder="0" vertical="center"/>
    </xf>
    <xf borderId="9" fillId="4" fontId="10" numFmtId="0" xfId="0" applyAlignment="1" applyBorder="1" applyFont="1">
      <alignment vertical="center"/>
    </xf>
    <xf borderId="0" fillId="4" fontId="12" numFmtId="0" xfId="0" applyAlignment="1" applyFont="1">
      <alignment readingOrder="0" shrinkToFit="0" vertical="center" wrapText="1"/>
    </xf>
    <xf borderId="15" fillId="4" fontId="7" numFmtId="0" xfId="0" applyAlignment="1" applyBorder="1" applyFont="1">
      <alignment horizontal="center" readingOrder="0" shrinkToFit="0" vertical="top" wrapText="1"/>
    </xf>
    <xf borderId="16" fillId="4" fontId="7" numFmtId="0" xfId="0" applyAlignment="1" applyBorder="1" applyFont="1">
      <alignment horizontal="center" readingOrder="0" shrinkToFit="0" vertical="top" wrapText="1"/>
    </xf>
    <xf borderId="17" fillId="4" fontId="7" numFmtId="0" xfId="0" applyAlignment="1" applyBorder="1" applyFont="1">
      <alignment horizontal="center" readingOrder="0" shrinkToFit="0" vertical="top" wrapText="1"/>
    </xf>
    <xf borderId="18" fillId="4" fontId="13" numFmtId="0" xfId="0" applyAlignment="1" applyBorder="1" applyFont="1">
      <alignment horizontal="center" vertical="center"/>
    </xf>
    <xf borderId="19" fillId="4" fontId="5" numFmtId="0" xfId="0" applyAlignment="1" applyBorder="1" applyFont="1">
      <alignment horizontal="center" vertical="center"/>
    </xf>
    <xf borderId="19" fillId="4" fontId="13" numFmtId="0" xfId="0" applyAlignment="1" applyBorder="1" applyFont="1">
      <alignment horizontal="center" vertical="center"/>
    </xf>
    <xf borderId="20" fillId="4" fontId="13" numFmtId="0" xfId="0" applyAlignment="1" applyBorder="1" applyFont="1">
      <alignment horizontal="center" vertical="center"/>
    </xf>
    <xf borderId="0" fillId="4" fontId="8" numFmtId="0" xfId="0" applyAlignment="1" applyFont="1">
      <alignment horizontal="center" readingOrder="0" shrinkToFit="0" vertical="center" wrapText="1"/>
    </xf>
    <xf borderId="0" fillId="4" fontId="14" numFmtId="0" xfId="0" applyAlignment="1" applyFont="1">
      <alignment readingOrder="0" shrinkToFit="0" vertical="center" wrapText="1"/>
    </xf>
    <xf borderId="0" fillId="4" fontId="12" numFmtId="0" xfId="0" applyAlignment="1" applyFont="1">
      <alignment shrinkToFit="0" vertical="center" wrapText="1"/>
    </xf>
    <xf borderId="0" fillId="0" fontId="13" numFmtId="0" xfId="0" applyAlignment="1" applyFont="1">
      <alignment horizontal="center" readingOrder="0" vertical="center"/>
    </xf>
    <xf borderId="0" fillId="4" fontId="13" numFmtId="0" xfId="0" applyAlignment="1" applyFont="1">
      <alignment readingOrder="0" vertical="center"/>
    </xf>
    <xf borderId="9" fillId="4" fontId="9" numFmtId="0" xfId="0" applyAlignment="1" applyBorder="1" applyFont="1">
      <alignment vertical="center"/>
    </xf>
    <xf borderId="0" fillId="4" fontId="15" numFmtId="0" xfId="0" applyAlignment="1" applyFont="1">
      <alignment vertical="center"/>
    </xf>
    <xf borderId="0" fillId="4" fontId="8" numFmtId="164" xfId="0" applyAlignment="1" applyFont="1" applyNumberFormat="1">
      <alignment horizontal="center" readingOrder="0" shrinkToFit="0" vertical="center" wrapText="1"/>
    </xf>
    <xf borderId="0" fillId="4" fontId="9" numFmtId="4" xfId="0" applyAlignment="1" applyFont="1" applyNumberFormat="1">
      <alignment horizontal="center"/>
    </xf>
    <xf borderId="21" fillId="4" fontId="16" numFmtId="0" xfId="0" applyBorder="1" applyFont="1"/>
    <xf borderId="22" fillId="4" fontId="16" numFmtId="0" xfId="0" applyBorder="1" applyFont="1"/>
    <xf borderId="23" fillId="4" fontId="16" numFmtId="0" xfId="0" applyBorder="1" applyFont="1"/>
    <xf borderId="0" fillId="4" fontId="13" numFmtId="4" xfId="0" applyAlignment="1" applyFont="1" applyNumberFormat="1">
      <alignment horizontal="center" readingOrder="0" vertical="center"/>
    </xf>
    <xf borderId="24" fillId="4" fontId="17" numFmtId="0" xfId="0" applyAlignment="1" applyBorder="1" applyFont="1">
      <alignment readingOrder="0" vertical="center"/>
    </xf>
    <xf borderId="25" fillId="4" fontId="17" numFmtId="0" xfId="0" applyAlignment="1" applyBorder="1" applyFont="1">
      <alignment readingOrder="0" vertical="center"/>
    </xf>
    <xf borderId="26" fillId="4" fontId="17" numFmtId="0" xfId="0" applyAlignment="1" applyBorder="1" applyFont="1">
      <alignment readingOrder="0" vertical="center"/>
    </xf>
    <xf borderId="0" fillId="4" fontId="17" numFmtId="0" xfId="0" applyAlignment="1" applyFont="1">
      <alignment readingOrder="0" vertical="center"/>
    </xf>
    <xf borderId="18" fillId="4" fontId="17" numFmtId="0" xfId="0" applyAlignment="1" applyBorder="1" applyFont="1">
      <alignment readingOrder="0" vertical="center"/>
    </xf>
    <xf borderId="20" fillId="4" fontId="17" numFmtId="0" xfId="0" applyAlignment="1" applyBorder="1" applyFont="1">
      <alignment readingOrder="0" vertical="center"/>
    </xf>
    <xf borderId="0" fillId="4" fontId="17" numFmtId="0" xfId="0" applyAlignment="1" applyFont="1">
      <alignment horizontal="center" readingOrder="0" vertical="center"/>
    </xf>
    <xf borderId="0" fillId="4" fontId="18" numFmtId="0" xfId="0" applyAlignment="1" applyFont="1">
      <alignment readingOrder="0" shrinkToFit="0" vertical="center" wrapText="1"/>
    </xf>
    <xf borderId="0" fillId="4" fontId="5" numFmtId="4" xfId="0" applyAlignment="1" applyFont="1" applyNumberFormat="1">
      <alignment horizontal="center" readingOrder="0" vertical="center"/>
    </xf>
    <xf borderId="0" fillId="4" fontId="10" numFmtId="0" xfId="0" applyFont="1"/>
    <xf borderId="0" fillId="4" fontId="10" numFmtId="0" xfId="0" applyAlignment="1" applyFont="1">
      <alignment readingOrder="0"/>
    </xf>
    <xf borderId="0" fillId="4" fontId="19" numFmtId="0" xfId="0" applyAlignment="1" applyFont="1">
      <alignment readingOrder="0" shrinkToFit="0" vertical="center" wrapText="1"/>
    </xf>
    <xf borderId="0" fillId="4" fontId="20" numFmtId="0" xfId="0" applyAlignment="1" applyFont="1">
      <alignment readingOrder="0" shrinkToFit="0" vertical="center" wrapText="1"/>
    </xf>
    <xf borderId="18" fillId="4" fontId="5" numFmtId="0" xfId="0" applyAlignment="1" applyBorder="1" applyFont="1">
      <alignment readingOrder="0" vertical="center"/>
    </xf>
    <xf borderId="19" fillId="4" fontId="5" numFmtId="0" xfId="0" applyAlignment="1" applyBorder="1" applyFont="1">
      <alignment readingOrder="0" vertical="center"/>
    </xf>
    <xf borderId="20" fillId="4" fontId="5" numFmtId="0" xfId="0" applyAlignment="1" applyBorder="1" applyFont="1">
      <alignment readingOrder="0" vertical="center"/>
    </xf>
    <xf borderId="2" fillId="3" fontId="21" numFmtId="0" xfId="0" applyAlignment="1" applyBorder="1" applyFont="1">
      <alignment readingOrder="0" shrinkToFit="0" vertical="center" wrapText="0"/>
    </xf>
    <xf borderId="0" fillId="4" fontId="22" numFmtId="0" xfId="0" applyAlignment="1" applyFont="1">
      <alignment readingOrder="0" vertical="center"/>
    </xf>
    <xf borderId="0" fillId="4" fontId="22" numFmtId="0" xfId="0" applyAlignment="1" applyFont="1">
      <alignment horizontal="center" readingOrder="0" vertical="center"/>
    </xf>
    <xf borderId="0" fillId="4" fontId="23" numFmtId="0" xfId="0" applyAlignment="1" applyFont="1">
      <alignment readingOrder="0" shrinkToFit="0" vertical="center" wrapText="1"/>
    </xf>
    <xf borderId="0" fillId="4" fontId="13" numFmtId="0" xfId="0" applyAlignment="1" applyFont="1">
      <alignment horizontal="left" readingOrder="0" vertical="center"/>
    </xf>
    <xf borderId="0" fillId="4" fontId="24" numFmtId="0" xfId="0" applyAlignment="1" applyFont="1">
      <alignment horizontal="center" readingOrder="0" vertical="center"/>
    </xf>
    <xf borderId="0" fillId="4" fontId="24" numFmtId="3" xfId="0" applyAlignment="1" applyFont="1" applyNumberFormat="1">
      <alignment horizontal="center" readingOrder="0" vertical="center"/>
    </xf>
    <xf borderId="0" fillId="4" fontId="25" numFmtId="0" xfId="0" applyFont="1"/>
    <xf borderId="0" fillId="4" fontId="24" numFmtId="0" xfId="0" applyAlignment="1" applyFont="1">
      <alignment readingOrder="0" vertical="center"/>
    </xf>
    <xf borderId="0" fillId="4" fontId="26" numFmtId="0" xfId="0" applyAlignment="1" applyFont="1">
      <alignment horizontal="center" readingOrder="0" shrinkToFit="0" vertical="center" wrapText="1"/>
    </xf>
    <xf borderId="24" fillId="4" fontId="6" numFmtId="0" xfId="0" applyAlignment="1" applyBorder="1" applyFont="1">
      <alignment readingOrder="0" vertical="center"/>
    </xf>
    <xf borderId="26" fillId="4" fontId="6" numFmtId="0" xfId="0" applyAlignment="1" applyBorder="1" applyFont="1">
      <alignment readingOrder="0" vertical="center"/>
    </xf>
    <xf borderId="0" fillId="4" fontId="6" numFmtId="0" xfId="0" applyAlignment="1" applyFont="1">
      <alignment horizontal="left" readingOrder="0" vertical="center"/>
    </xf>
    <xf borderId="0" fillId="4" fontId="6" numFmtId="0" xfId="0" applyAlignment="1" applyFont="1">
      <alignment horizontal="center" readingOrder="0" vertical="center"/>
    </xf>
    <xf borderId="0" fillId="4" fontId="27" numFmtId="0" xfId="0" applyAlignment="1" applyFont="1">
      <alignment readingOrder="0" shrinkToFit="0" vertical="center" wrapText="1"/>
    </xf>
    <xf borderId="24" fillId="4" fontId="5" numFmtId="0" xfId="0" applyAlignment="1" applyBorder="1" applyFont="1">
      <alignment readingOrder="0" vertical="center"/>
    </xf>
    <xf borderId="26" fillId="4" fontId="5" numFmtId="0" xfId="0" applyAlignment="1" applyBorder="1" applyFont="1">
      <alignment readingOrder="0" vertical="center"/>
    </xf>
    <xf borderId="0" fillId="0" fontId="13" numFmtId="0" xfId="0" applyAlignment="1" applyFont="1">
      <alignment horizontal="left" readingOrder="0" vertical="center"/>
    </xf>
    <xf borderId="0" fillId="4" fontId="5" numFmtId="0" xfId="0" applyAlignment="1" applyFont="1">
      <alignment horizontal="center" readingOrder="0" vertical="center"/>
    </xf>
    <xf borderId="0" fillId="4" fontId="5" numFmtId="0" xfId="0" applyAlignment="1" applyFont="1">
      <alignment readingOrder="0" vertical="center"/>
    </xf>
    <xf borderId="0" fillId="4" fontId="27" numFmtId="0" xfId="0" applyAlignment="1" applyFont="1">
      <alignment readingOrder="0" vertical="center"/>
    </xf>
    <xf borderId="27" fillId="4" fontId="5" numFmtId="0" xfId="0" applyAlignment="1" applyBorder="1" applyFont="1">
      <alignment readingOrder="0" vertical="center"/>
    </xf>
    <xf borderId="28" fillId="4" fontId="5" numFmtId="0" xfId="0" applyAlignment="1" applyBorder="1" applyFont="1">
      <alignment readingOrder="0" vertical="center"/>
    </xf>
    <xf borderId="29" fillId="4" fontId="5" numFmtId="0" xfId="0" applyAlignment="1" applyBorder="1" applyFont="1">
      <alignment readingOrder="0" vertical="center"/>
    </xf>
    <xf borderId="0" fillId="0" fontId="5" numFmtId="0" xfId="0" applyAlignment="1" applyFont="1">
      <alignment horizontal="center" readingOrder="0" vertical="center"/>
    </xf>
    <xf borderId="0" fillId="4" fontId="28" numFmtId="0" xfId="0" applyAlignment="1" applyFont="1">
      <alignment horizontal="center" readingOrder="0" shrinkToFit="0" vertical="center" wrapText="1"/>
    </xf>
    <xf borderId="0" fillId="4" fontId="28" numFmtId="0" xfId="0" applyAlignment="1" applyFont="1">
      <alignment horizontal="center" readingOrder="0" vertical="center"/>
    </xf>
    <xf borderId="0" fillId="4" fontId="5" numFmtId="0" xfId="0" applyAlignment="1" applyFont="1">
      <alignment horizontal="center" readingOrder="0" shrinkToFit="0" vertical="center" wrapText="1"/>
    </xf>
    <xf borderId="0" fillId="4" fontId="28" numFmtId="0" xfId="0" applyAlignment="1" applyFont="1">
      <alignment horizontal="center"/>
    </xf>
    <xf borderId="0" fillId="4" fontId="28" numFmtId="4" xfId="0" applyAlignment="1" applyFont="1" applyNumberFormat="1">
      <alignment horizontal="center" vertical="center"/>
    </xf>
    <xf borderId="0" fillId="4" fontId="28" numFmtId="0" xfId="0" applyAlignment="1" applyFont="1">
      <alignment horizontal="center" vertical="center"/>
    </xf>
    <xf borderId="0" fillId="4" fontId="29" numFmtId="0" xfId="0" applyAlignment="1" applyFont="1">
      <alignment readingOrder="0" shrinkToFit="0" vertical="center" wrapText="1"/>
    </xf>
    <xf borderId="0" fillId="0" fontId="13" numFmtId="0" xfId="0" applyAlignment="1" applyFont="1">
      <alignment horizontal="left" vertical="center"/>
    </xf>
    <xf borderId="0" fillId="0" fontId="13" numFmtId="0" xfId="0" applyAlignment="1" applyFont="1">
      <alignment horizontal="center" vertical="center"/>
    </xf>
    <xf borderId="0" fillId="4" fontId="23" numFmtId="0" xfId="0" applyAlignment="1" applyFont="1">
      <alignment shrinkToFit="0" vertical="center" wrapText="1"/>
    </xf>
    <xf borderId="0" fillId="4" fontId="30" numFmtId="0" xfId="0" applyAlignment="1" applyFont="1">
      <alignment readingOrder="0" shrinkToFit="0" vertical="center" wrapText="1"/>
    </xf>
    <xf borderId="0" fillId="0" fontId="13" numFmtId="0" xfId="0" applyAlignment="1" applyFont="1">
      <alignment horizontal="center" vertical="center"/>
    </xf>
    <xf borderId="0" fillId="2" fontId="3" numFmtId="0" xfId="0" applyAlignment="1" applyFont="1">
      <alignment readingOrder="0" shrinkToFit="0" vertical="center" wrapText="1"/>
    </xf>
    <xf borderId="0" fillId="4" fontId="31" numFmtId="0" xfId="0" applyAlignment="1" applyFont="1">
      <alignment horizontal="center" readingOrder="0" shrinkToFit="0" vertical="center" wrapText="1"/>
    </xf>
    <xf borderId="0" fillId="4" fontId="26" numFmtId="165" xfId="0" applyAlignment="1" applyFont="1" applyNumberFormat="1">
      <alignment horizontal="center" readingOrder="0" shrinkToFit="0" vertical="center" wrapText="1"/>
    </xf>
    <xf borderId="0" fillId="4" fontId="32" numFmtId="0" xfId="0" applyAlignment="1" applyFont="1">
      <alignment horizontal="left" readingOrder="0" shrinkToFit="0" vertical="center" wrapText="0"/>
    </xf>
    <xf borderId="0" fillId="4" fontId="33" numFmtId="0" xfId="0" applyAlignment="1" applyFont="1">
      <alignment horizontal="center" readingOrder="0" shrinkToFit="0" vertical="center" wrapText="1"/>
    </xf>
    <xf borderId="0" fillId="4" fontId="34" numFmtId="166" xfId="0" applyAlignment="1" applyFont="1" applyNumberFormat="1">
      <alignment horizontal="center" readingOrder="0" vertical="center"/>
    </xf>
    <xf borderId="0" fillId="4" fontId="35" numFmtId="0" xfId="0" applyAlignment="1" applyFont="1">
      <alignment horizontal="left" readingOrder="0" shrinkToFit="0" vertical="center" wrapText="1"/>
    </xf>
    <xf borderId="0" fillId="4" fontId="36" numFmtId="0" xfId="0" applyAlignment="1" applyFont="1">
      <alignment horizontal="center" readingOrder="0" vertical="center"/>
    </xf>
    <xf borderId="18" fillId="4" fontId="10" numFmtId="0" xfId="0" applyAlignment="1" applyBorder="1" applyFont="1">
      <alignment readingOrder="0" vertical="center"/>
    </xf>
    <xf borderId="19" fillId="4" fontId="10" numFmtId="0" xfId="0" applyAlignment="1" applyBorder="1" applyFont="1">
      <alignment readingOrder="0" vertical="center"/>
    </xf>
    <xf borderId="20" fillId="4" fontId="10" numFmtId="0" xfId="0" applyAlignment="1" applyBorder="1" applyFont="1">
      <alignment readingOrder="0" vertical="center"/>
    </xf>
    <xf borderId="0" fillId="4" fontId="26" numFmtId="4" xfId="0" applyAlignment="1" applyFont="1" applyNumberFormat="1">
      <alignment horizontal="center" readingOrder="0" shrinkToFit="0" vertical="center" wrapText="1"/>
    </xf>
    <xf borderId="0" fillId="4" fontId="32" numFmtId="0" xfId="0" applyAlignment="1" applyFont="1">
      <alignment horizontal="center" readingOrder="0" shrinkToFit="0" vertical="center" wrapText="0"/>
    </xf>
    <xf borderId="0" fillId="4" fontId="37" numFmtId="0" xfId="0" applyAlignment="1" applyFont="1">
      <alignment horizontal="left" readingOrder="0" shrinkToFit="0" vertical="center" wrapText="0"/>
    </xf>
    <xf borderId="0" fillId="4" fontId="8" numFmtId="167" xfId="0" applyAlignment="1" applyFont="1" applyNumberFormat="1">
      <alignment horizontal="center" readingOrder="0" shrinkToFit="0" vertical="center" wrapText="1"/>
    </xf>
    <xf borderId="0" fillId="4" fontId="38" numFmtId="167" xfId="0" applyAlignment="1" applyFont="1" applyNumberFormat="1">
      <alignment horizontal="center" readingOrder="0" shrinkToFit="0" vertical="center" wrapText="1"/>
    </xf>
    <xf borderId="0" fillId="4" fontId="39" numFmtId="0" xfId="0" applyAlignment="1" applyFont="1">
      <alignment horizontal="center" readingOrder="0" shrinkToFit="0" vertical="center" wrapText="1"/>
    </xf>
    <xf borderId="18" fillId="4" fontId="32" numFmtId="0" xfId="0" applyAlignment="1" applyBorder="1" applyFont="1">
      <alignment horizontal="center" readingOrder="0" shrinkToFit="0" vertical="center" wrapText="1"/>
    </xf>
    <xf borderId="19" fillId="4" fontId="32" numFmtId="0" xfId="0" applyAlignment="1" applyBorder="1" applyFont="1">
      <alignment horizontal="center" readingOrder="0" shrinkToFit="0" vertical="center" wrapText="1"/>
    </xf>
    <xf borderId="20" fillId="4" fontId="40" numFmtId="0" xfId="0" applyAlignment="1" applyBorder="1" applyFont="1">
      <alignment horizontal="center" readingOrder="0" shrinkToFit="0" vertical="center" wrapText="1"/>
    </xf>
    <xf borderId="0" fillId="4" fontId="41" numFmtId="0" xfId="0" applyAlignment="1" applyFont="1">
      <alignment horizontal="left" readingOrder="0" shrinkToFit="0" vertical="center" wrapText="1"/>
    </xf>
  </cellXfs>
  <cellStyles count="1">
    <cellStyle xfId="0" name="Normal" builtinId="0"/>
  </cellStyles>
  <dxfs count="6">
    <dxf>
      <font/>
      <fill>
        <patternFill patternType="solid">
          <fgColor rgb="FFB7E1CD"/>
          <bgColor rgb="FFB7E1CD"/>
        </patternFill>
      </fill>
      <border/>
    </dxf>
    <dxf>
      <font/>
      <fill>
        <patternFill patternType="solid">
          <fgColor rgb="FFDCEFFF"/>
          <bgColor rgb="FFDCEFFF"/>
        </patternFill>
      </fill>
      <border/>
    </dxf>
    <dxf>
      <font>
        <color rgb="FF434343"/>
      </font>
      <fill>
        <patternFill patternType="solid">
          <fgColor rgb="FFFFFF00"/>
          <bgColor rgb="FFFFFF00"/>
        </patternFill>
      </fill>
      <border/>
    </dxf>
    <dxf>
      <font/>
      <fill>
        <patternFill patternType="none"/>
      </fill>
      <border/>
    </dxf>
    <dxf>
      <font/>
      <fill>
        <patternFill patternType="solid">
          <fgColor rgb="FFFFFF00"/>
          <bgColor rgb="FFFFFF00"/>
        </patternFill>
      </fill>
      <border/>
    </dxf>
    <dxf>
      <font>
        <b/>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419100</xdr:colOff>
      <xdr:row>504</xdr:row>
      <xdr:rowOff>76200</xdr:rowOff>
    </xdr:from>
    <xdr:ext cx="1200150"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rog.asus.com/us/laptops/rog-flow/rog-flow-z13-2025/helpdesk_service_guide/" TargetMode="External"/><Relationship Id="rId3" Type="http://schemas.openxmlformats.org/officeDocument/2006/relationships/hyperlink" Target="https://www.asus.com/us/support/customer-self-repair/" TargetMode="External"/><Relationship Id="rId4" Type="http://schemas.openxmlformats.org/officeDocument/2006/relationships/hyperlink" Target="https://partshop.asus.com/us/"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2"/>
  <cols>
    <col customWidth="1" hidden="1" min="1" max="5" width="12.0"/>
    <col customWidth="1" min="6" max="6" width="4.38"/>
    <col customWidth="1" min="7" max="7" width="24.0"/>
    <col customWidth="1" min="8" max="8" width="21.25"/>
    <col customWidth="1" min="9" max="11" width="12.63"/>
    <col customWidth="1" min="12" max="12" width="86.13"/>
  </cols>
  <sheetData>
    <row r="1">
      <c r="A1" s="1"/>
      <c r="B1" s="1"/>
      <c r="C1" s="1"/>
      <c r="D1" s="1"/>
      <c r="E1" s="1"/>
      <c r="F1" s="1" t="s">
        <v>0</v>
      </c>
      <c r="G1" s="2" t="s">
        <v>1</v>
      </c>
      <c r="H1" s="3" t="s">
        <v>2</v>
      </c>
      <c r="I1" s="4"/>
      <c r="J1" s="4"/>
      <c r="K1" s="4"/>
      <c r="L1" s="5" t="s">
        <v>3</v>
      </c>
    </row>
    <row r="2" ht="22.5" customHeight="1">
      <c r="A2" s="6"/>
      <c r="B2" s="6"/>
      <c r="C2" s="6"/>
      <c r="D2" s="7"/>
      <c r="E2" s="8"/>
      <c r="F2" s="8" t="s">
        <v>4</v>
      </c>
      <c r="G2" s="9"/>
      <c r="H2" s="9"/>
      <c r="I2" s="9"/>
      <c r="J2" s="9"/>
      <c r="K2" s="9"/>
      <c r="L2" s="10"/>
    </row>
    <row r="3" outlineLevel="1">
      <c r="A3" s="11"/>
      <c r="B3" s="12"/>
      <c r="C3" s="13" t="s">
        <v>5</v>
      </c>
      <c r="D3" s="12"/>
      <c r="E3" s="14"/>
      <c r="F3" s="15">
        <v>1.1</v>
      </c>
      <c r="G3" s="16" t="s">
        <v>6</v>
      </c>
      <c r="H3" s="17" t="s">
        <v>7</v>
      </c>
      <c r="I3" s="18"/>
      <c r="J3" s="18"/>
      <c r="K3" s="19"/>
      <c r="L3" s="20" t="s">
        <v>8</v>
      </c>
    </row>
    <row r="4" outlineLevel="1">
      <c r="A4" s="21"/>
      <c r="B4" s="22"/>
      <c r="C4" s="23"/>
      <c r="D4" s="22"/>
      <c r="E4" s="24"/>
      <c r="F4" s="15">
        <v>1.2</v>
      </c>
      <c r="G4" s="16" t="s">
        <v>9</v>
      </c>
      <c r="H4" s="17" t="s">
        <v>10</v>
      </c>
      <c r="I4" s="18"/>
      <c r="J4" s="18"/>
      <c r="K4" s="19"/>
      <c r="L4" s="20" t="s">
        <v>11</v>
      </c>
    </row>
    <row r="5" outlineLevel="1">
      <c r="A5" s="21"/>
      <c r="B5" s="22"/>
      <c r="C5" s="23" t="s">
        <v>12</v>
      </c>
      <c r="D5" s="22"/>
      <c r="E5" s="24"/>
      <c r="F5" s="15">
        <v>1.3</v>
      </c>
      <c r="G5" s="16" t="s">
        <v>13</v>
      </c>
      <c r="H5" s="17" t="s">
        <v>14</v>
      </c>
      <c r="I5" s="18"/>
      <c r="J5" s="18"/>
      <c r="K5" s="19"/>
      <c r="L5" s="25" t="s">
        <v>15</v>
      </c>
    </row>
    <row r="6" outlineLevel="1">
      <c r="A6" s="26"/>
      <c r="B6" s="27"/>
      <c r="C6" s="27"/>
      <c r="D6" s="27"/>
      <c r="E6" s="28"/>
      <c r="F6" s="15">
        <v>1.4</v>
      </c>
      <c r="G6" s="29"/>
      <c r="H6" s="30" t="s">
        <v>16</v>
      </c>
      <c r="I6" s="18"/>
      <c r="J6" s="18"/>
      <c r="K6" s="19"/>
      <c r="L6" s="31" t="s">
        <v>17</v>
      </c>
    </row>
    <row r="7" outlineLevel="1">
      <c r="A7" s="32"/>
      <c r="B7" s="33"/>
      <c r="C7" s="33"/>
      <c r="D7" s="33"/>
      <c r="E7" s="34"/>
      <c r="F7" s="15"/>
      <c r="G7" s="35"/>
      <c r="H7" s="36"/>
      <c r="I7" s="37"/>
      <c r="J7" s="37"/>
      <c r="K7" s="37"/>
      <c r="L7" s="38"/>
    </row>
    <row r="8" ht="22.5" customHeight="1">
      <c r="A8" s="6" t="s">
        <v>18</v>
      </c>
      <c r="B8" s="6" t="s">
        <v>19</v>
      </c>
      <c r="C8" s="6" t="s">
        <v>20</v>
      </c>
      <c r="D8" s="7"/>
      <c r="E8" s="8"/>
      <c r="F8" s="8" t="s">
        <v>21</v>
      </c>
      <c r="G8" s="9"/>
      <c r="H8" s="9"/>
      <c r="I8" s="9"/>
      <c r="J8" s="9"/>
      <c r="K8" s="9"/>
      <c r="L8" s="10"/>
    </row>
    <row r="9" ht="26.25" customHeight="1" outlineLevel="1">
      <c r="A9" s="39">
        <f t="shared" ref="A9:A15" si="1">if(G9="Yes",1,0)</f>
        <v>1</v>
      </c>
      <c r="B9" s="39" t="s">
        <v>22</v>
      </c>
      <c r="C9" s="39"/>
      <c r="D9" s="39"/>
      <c r="E9" s="39"/>
      <c r="F9" s="39">
        <v>2.1</v>
      </c>
      <c r="G9" s="16" t="s">
        <v>13</v>
      </c>
      <c r="H9" s="30" t="s">
        <v>23</v>
      </c>
      <c r="I9" s="18"/>
      <c r="J9" s="18"/>
      <c r="K9" s="19"/>
      <c r="L9" s="40" t="s">
        <v>24</v>
      </c>
    </row>
    <row r="10" ht="26.25" customHeight="1" outlineLevel="1">
      <c r="A10" s="39">
        <f t="shared" si="1"/>
        <v>1</v>
      </c>
      <c r="B10" s="39" t="s">
        <v>22</v>
      </c>
      <c r="C10" s="39"/>
      <c r="D10" s="39"/>
      <c r="E10" s="39"/>
      <c r="F10" s="39">
        <v>2.2</v>
      </c>
      <c r="G10" s="16" t="s">
        <v>13</v>
      </c>
      <c r="H10" s="30" t="s">
        <v>25</v>
      </c>
      <c r="I10" s="18"/>
      <c r="J10" s="18"/>
      <c r="K10" s="19"/>
      <c r="L10" s="41" t="s">
        <v>26</v>
      </c>
    </row>
    <row r="11" ht="26.25" customHeight="1" outlineLevel="1">
      <c r="A11" s="39">
        <f t="shared" si="1"/>
        <v>1</v>
      </c>
      <c r="B11" s="39">
        <v>0.05</v>
      </c>
      <c r="C11" s="39">
        <f t="shared" ref="C11:C22" si="2">A11*B11</f>
        <v>0.05</v>
      </c>
      <c r="D11" s="39"/>
      <c r="E11" s="39"/>
      <c r="F11" s="39">
        <v>2.3</v>
      </c>
      <c r="G11" s="16" t="s">
        <v>13</v>
      </c>
      <c r="H11" s="30" t="s">
        <v>27</v>
      </c>
      <c r="I11" s="18"/>
      <c r="J11" s="18"/>
      <c r="K11" s="19"/>
      <c r="L11" s="20" t="s">
        <v>28</v>
      </c>
    </row>
    <row r="12" ht="26.25" customHeight="1" outlineLevel="1">
      <c r="A12" s="39">
        <f t="shared" si="1"/>
        <v>0</v>
      </c>
      <c r="B12" s="39">
        <v>0.05</v>
      </c>
      <c r="C12" s="39">
        <f t="shared" si="2"/>
        <v>0</v>
      </c>
      <c r="D12" s="39"/>
      <c r="E12" s="39"/>
      <c r="F12" s="39">
        <v>2.4</v>
      </c>
      <c r="G12" s="16" t="s">
        <v>29</v>
      </c>
      <c r="H12" s="30" t="s">
        <v>30</v>
      </c>
      <c r="I12" s="18"/>
      <c r="J12" s="18"/>
      <c r="K12" s="19"/>
      <c r="L12" s="31" t="s">
        <v>31</v>
      </c>
    </row>
    <row r="13" ht="26.25" customHeight="1" outlineLevel="1">
      <c r="A13" s="39">
        <f t="shared" si="1"/>
        <v>1</v>
      </c>
      <c r="B13" s="39">
        <v>0.05</v>
      </c>
      <c r="C13" s="39">
        <f t="shared" si="2"/>
        <v>0.05</v>
      </c>
      <c r="D13" s="39"/>
      <c r="E13" s="39"/>
      <c r="F13" s="39">
        <v>2.5</v>
      </c>
      <c r="G13" s="16" t="s">
        <v>13</v>
      </c>
      <c r="H13" s="30" t="s">
        <v>32</v>
      </c>
      <c r="I13" s="18"/>
      <c r="J13" s="18"/>
      <c r="K13" s="19"/>
      <c r="L13" s="41"/>
    </row>
    <row r="14" ht="26.25" customHeight="1" outlineLevel="1">
      <c r="A14" s="39">
        <f t="shared" si="1"/>
        <v>0</v>
      </c>
      <c r="B14" s="39">
        <v>0.05</v>
      </c>
      <c r="C14" s="39">
        <f t="shared" si="2"/>
        <v>0</v>
      </c>
      <c r="D14" s="39"/>
      <c r="E14" s="39"/>
      <c r="F14" s="39">
        <v>2.6</v>
      </c>
      <c r="G14" s="42" t="s">
        <v>29</v>
      </c>
      <c r="H14" s="30" t="s">
        <v>33</v>
      </c>
      <c r="I14" s="18"/>
      <c r="J14" s="18"/>
      <c r="K14" s="19"/>
      <c r="L14" s="20" t="s">
        <v>34</v>
      </c>
    </row>
    <row r="15" ht="26.25" customHeight="1" outlineLevel="1">
      <c r="A15" s="39">
        <f t="shared" si="1"/>
        <v>0</v>
      </c>
      <c r="B15" s="39">
        <v>0.05</v>
      </c>
      <c r="C15" s="39">
        <f t="shared" si="2"/>
        <v>0</v>
      </c>
      <c r="D15" s="39"/>
      <c r="E15" s="39"/>
      <c r="F15" s="39">
        <v>2.7</v>
      </c>
      <c r="G15" s="42" t="s">
        <v>29</v>
      </c>
      <c r="H15" s="30" t="s">
        <v>35</v>
      </c>
      <c r="I15" s="18"/>
      <c r="J15" s="18"/>
      <c r="K15" s="19"/>
      <c r="L15" s="20" t="s">
        <v>36</v>
      </c>
    </row>
    <row r="16" ht="26.25" customHeight="1" outlineLevel="1">
      <c r="A16" s="39" t="str">
        <f>if(G16="Yes",if(hlookup($G$4,'Scored Components + Weights'!$1:$17,5,FALSE)&gt;0,1,0),0)</f>
        <v>#REF!</v>
      </c>
      <c r="B16" s="39">
        <f t="shared" ref="B16:B22" si="3">IF(ISNUMBER(SEARCH("N/A",H16)),0,if(G16="N/A",0,(1-SUM($B$11:$B$15))/(((7-countif($G$16:$G$22,"N/A"))))))</f>
        <v>0.125</v>
      </c>
      <c r="C16" s="39" t="str">
        <f t="shared" si="2"/>
        <v>#REF!</v>
      </c>
      <c r="D16" s="39"/>
      <c r="E16" s="39"/>
      <c r="F16" s="39">
        <v>2.8</v>
      </c>
      <c r="G16" s="42" t="s">
        <v>13</v>
      </c>
      <c r="H16" s="30" t="str">
        <f>concat("Includes repair guide for Scored Component 1 — ",$G$94)</f>
        <v>#REF!</v>
      </c>
      <c r="I16" s="18"/>
      <c r="J16" s="18"/>
      <c r="K16" s="19"/>
      <c r="L16" s="31" t="s">
        <v>37</v>
      </c>
    </row>
    <row r="17" ht="26.25" customHeight="1" outlineLevel="1">
      <c r="A17" s="39" t="str">
        <f>if(G17="Yes",if(hlookup($G$4,'Scored Components + Weights'!$1:$17,7,FALSE)&gt;0,1,0),0)</f>
        <v>#REF!</v>
      </c>
      <c r="B17" s="39">
        <f t="shared" si="3"/>
        <v>0.125</v>
      </c>
      <c r="C17" s="39" t="str">
        <f t="shared" si="2"/>
        <v>#REF!</v>
      </c>
      <c r="D17" s="39"/>
      <c r="E17" s="39"/>
      <c r="F17" s="39" t="s">
        <v>38</v>
      </c>
      <c r="G17" s="42" t="s">
        <v>13</v>
      </c>
      <c r="H17" s="30" t="str">
        <f>concat("  ... for Scored Component 2 — ",$G$150)</f>
        <v>#REF!</v>
      </c>
      <c r="I17" s="18"/>
      <c r="J17" s="18"/>
      <c r="K17" s="19"/>
      <c r="L17" s="31" t="s">
        <v>39</v>
      </c>
    </row>
    <row r="18" ht="26.25" customHeight="1" outlineLevel="1">
      <c r="A18" s="39">
        <f>if(G18="Yes",if(hlookup($G$4,'Scored Components + Weights'!$1:$17,9,FALSE)&gt;0,1,0),0)</f>
        <v>0</v>
      </c>
      <c r="B18" s="39">
        <f t="shared" si="3"/>
        <v>0</v>
      </c>
      <c r="C18" s="39">
        <f t="shared" si="2"/>
        <v>0</v>
      </c>
      <c r="D18" s="39"/>
      <c r="E18" s="39"/>
      <c r="F18" s="39" t="s">
        <v>40</v>
      </c>
      <c r="G18" s="42" t="s">
        <v>41</v>
      </c>
      <c r="H18" s="30" t="str">
        <f>concat("  ... for Scored Component 3 — ",$G$206)</f>
        <v>#REF!</v>
      </c>
      <c r="I18" s="18"/>
      <c r="J18" s="18"/>
      <c r="K18" s="19"/>
      <c r="L18" s="31" t="s">
        <v>42</v>
      </c>
    </row>
    <row r="19" ht="26.25" customHeight="1" outlineLevel="1">
      <c r="A19" s="39" t="str">
        <f>if(G19="Yes",if(hlookup($G$4,'Scored Components + Weights'!$1:$17,11,FALSE)&gt;0,1,0),0)</f>
        <v>#REF!</v>
      </c>
      <c r="B19" s="39">
        <f t="shared" si="3"/>
        <v>0.125</v>
      </c>
      <c r="C19" s="39" t="str">
        <f t="shared" si="2"/>
        <v>#REF!</v>
      </c>
      <c r="D19" s="39"/>
      <c r="E19" s="39"/>
      <c r="F19" s="39" t="s">
        <v>43</v>
      </c>
      <c r="G19" s="42" t="s">
        <v>13</v>
      </c>
      <c r="H19" s="30" t="str">
        <f>concat("  ... for Scored Component 4 — ",$G$262)</f>
        <v>#REF!</v>
      </c>
      <c r="I19" s="18"/>
      <c r="J19" s="18"/>
      <c r="K19" s="19"/>
      <c r="L19" s="31"/>
    </row>
    <row r="20" ht="26.25" customHeight="1" outlineLevel="1">
      <c r="A20" s="39" t="str">
        <f>if(G20="Yes",if(hlookup($G$4,'Scored Components + Weights'!$1:$17,13,FALSE)&gt;0,1,0),0)</f>
        <v>#REF!</v>
      </c>
      <c r="B20" s="39">
        <f t="shared" si="3"/>
        <v>0.125</v>
      </c>
      <c r="C20" s="39" t="str">
        <f t="shared" si="2"/>
        <v>#REF!</v>
      </c>
      <c r="D20" s="39"/>
      <c r="E20" s="39"/>
      <c r="F20" s="39" t="s">
        <v>44</v>
      </c>
      <c r="G20" s="42" t="s">
        <v>13</v>
      </c>
      <c r="H20" s="30" t="str">
        <f>concat("  ... for Scored Component 5 — ",$G$318)</f>
        <v>#REF!</v>
      </c>
      <c r="I20" s="18"/>
      <c r="J20" s="18"/>
      <c r="K20" s="19"/>
      <c r="L20" s="31"/>
    </row>
    <row r="21" ht="26.25" customHeight="1" outlineLevel="1">
      <c r="A21" s="39" t="str">
        <f>if(G21="Yes",if(hlookup($G$4,'Scored Components + Weights'!$1:$17,15,FALSE)&gt;0,1,0),0)</f>
        <v>#REF!</v>
      </c>
      <c r="B21" s="39">
        <f t="shared" si="3"/>
        <v>0.125</v>
      </c>
      <c r="C21" s="39" t="str">
        <f t="shared" si="2"/>
        <v>#REF!</v>
      </c>
      <c r="D21" s="39"/>
      <c r="E21" s="39"/>
      <c r="F21" s="39" t="s">
        <v>45</v>
      </c>
      <c r="G21" s="42" t="s">
        <v>13</v>
      </c>
      <c r="H21" s="30" t="str">
        <f>concat("  ... for Scored Component 6 — ",$G$374)</f>
        <v>#REF!</v>
      </c>
      <c r="I21" s="18"/>
      <c r="J21" s="18"/>
      <c r="K21" s="19"/>
      <c r="L21" s="31"/>
    </row>
    <row r="22" ht="28.5" customHeight="1" outlineLevel="1">
      <c r="A22" s="39">
        <f>if(G22="Yes",if(hlookup($G$4,'Scored Components + Weights'!$1:$17,17,FALSE)&gt;0,1,0),0)</f>
        <v>0</v>
      </c>
      <c r="B22" s="39">
        <f t="shared" si="3"/>
        <v>0.125</v>
      </c>
      <c r="C22" s="39">
        <f t="shared" si="2"/>
        <v>0</v>
      </c>
      <c r="D22" s="39"/>
      <c r="E22" s="39"/>
      <c r="F22" s="39" t="s">
        <v>46</v>
      </c>
      <c r="G22" s="42" t="str">
        <f>IF(ISNUMBER(SEARCH("N/A",H22)), "N/A","")</f>
        <v/>
      </c>
      <c r="H22" s="30" t="str">
        <f>concat("  ... for Scored Component 7 — ",$G$430)</f>
        <v>#REF!</v>
      </c>
      <c r="I22" s="18"/>
      <c r="J22" s="18"/>
      <c r="K22" s="19"/>
      <c r="L22" s="31"/>
    </row>
    <row r="23" outlineLevel="1">
      <c r="A23" s="39"/>
      <c r="B23" s="39"/>
      <c r="C23" s="39"/>
      <c r="D23" s="39"/>
      <c r="E23" s="39"/>
      <c r="F23" s="39"/>
      <c r="G23" s="43"/>
      <c r="H23" s="44"/>
      <c r="I23" s="18"/>
      <c r="J23" s="18"/>
      <c r="K23" s="19"/>
      <c r="L23" s="45"/>
    </row>
    <row r="24" outlineLevel="1">
      <c r="A24" s="39" t="s">
        <v>47</v>
      </c>
      <c r="B24" s="46">
        <f t="shared" ref="B24:C24" si="4">sum(B11:B22)</f>
        <v>1</v>
      </c>
      <c r="C24" s="46" t="str">
        <f t="shared" si="4"/>
        <v>#REF!</v>
      </c>
      <c r="D24" s="39"/>
      <c r="E24" s="39"/>
      <c r="F24" s="39">
        <v>2.11</v>
      </c>
      <c r="G24" s="47" t="str">
        <f>ifs(G5="","",G5="YES",if(A9+A10=2,C24,0),G6="YES",if(if(A9+A10=2,C24,0)&gt;0.9,0.9,if(A9+A10=2,C24,0)),G5="NO",if(if(A9+A10=2,C24,0)&gt;0.85,0.85,if(A9+A10=2,C24,0)))</f>
        <v>#REF!</v>
      </c>
      <c r="H24" s="48" t="s">
        <v>48</v>
      </c>
      <c r="I24" s="49"/>
      <c r="J24" s="49"/>
      <c r="K24" s="50"/>
      <c r="L24" s="31" t="s">
        <v>49</v>
      </c>
    </row>
    <row r="25" ht="22.5" customHeight="1">
      <c r="A25" s="8"/>
      <c r="B25" s="8"/>
      <c r="C25" s="8"/>
      <c r="D25" s="8"/>
      <c r="E25" s="8"/>
      <c r="F25" s="8" t="s">
        <v>50</v>
      </c>
      <c r="G25" s="9"/>
      <c r="H25" s="9"/>
      <c r="I25" s="9"/>
      <c r="J25" s="9"/>
      <c r="K25" s="9"/>
      <c r="L25" s="10"/>
    </row>
    <row r="26" outlineLevel="1">
      <c r="A26" s="39"/>
      <c r="B26" s="39"/>
      <c r="C26" s="39"/>
      <c r="D26" s="39"/>
      <c r="E26" s="39"/>
      <c r="F26" s="39">
        <v>3.1</v>
      </c>
      <c r="G26" s="51">
        <v>2399.99</v>
      </c>
      <c r="H26" s="30" t="s">
        <v>51</v>
      </c>
      <c r="I26" s="18"/>
      <c r="J26" s="18"/>
      <c r="K26" s="19"/>
      <c r="L26" s="40" t="s">
        <v>52</v>
      </c>
    </row>
    <row r="27" outlineLevel="1">
      <c r="A27" s="39"/>
      <c r="B27" s="39"/>
      <c r="C27" s="39"/>
      <c r="D27" s="39"/>
      <c r="E27" s="39"/>
      <c r="F27" s="39">
        <v>3.2</v>
      </c>
      <c r="G27" s="52" t="s">
        <v>53</v>
      </c>
      <c r="H27" s="53"/>
      <c r="I27" s="53"/>
      <c r="J27" s="53"/>
      <c r="K27" s="54"/>
      <c r="L27" s="40" t="s">
        <v>54</v>
      </c>
    </row>
    <row r="28" outlineLevel="1">
      <c r="A28" s="39" t="s">
        <v>55</v>
      </c>
      <c r="B28" s="39" t="s">
        <v>19</v>
      </c>
      <c r="C28" s="39" t="s">
        <v>56</v>
      </c>
      <c r="D28" s="39" t="s">
        <v>57</v>
      </c>
      <c r="E28" s="39"/>
      <c r="F28" s="39"/>
      <c r="G28" s="55" t="s">
        <v>58</v>
      </c>
      <c r="H28" s="56" t="s">
        <v>59</v>
      </c>
      <c r="I28" s="57"/>
      <c r="J28" s="58" t="s">
        <v>60</v>
      </c>
      <c r="K28" s="58" t="s">
        <v>61</v>
      </c>
      <c r="L28" s="59" t="s">
        <v>62</v>
      </c>
    </row>
    <row r="29" outlineLevel="1">
      <c r="A29" s="39">
        <f t="shared" ref="A29:A35" si="5">G29/G$26</f>
        <v>0.269513623</v>
      </c>
      <c r="B29" s="39" t="str">
        <f>HLOOKUP(G4,'Scored Components + Weights'!C1:V17,5,FALSE)</f>
        <v>#REF!</v>
      </c>
      <c r="C29" s="39">
        <f t="shared" ref="C29:C35" si="6">if(J29=TRUE,1,if(K29=TRUE,0,if(G29="",0,if(A29&lt;0.2501,1,if(A29&gt;1,0,0.2)))))</f>
        <v>0</v>
      </c>
      <c r="D29" s="39" t="str">
        <f t="shared" ref="D29:D35" si="7">B29*C29</f>
        <v>#REF!</v>
      </c>
      <c r="E29" s="39"/>
      <c r="F29" s="39" t="s">
        <v>63</v>
      </c>
      <c r="G29" s="60">
        <v>646.83</v>
      </c>
      <c r="H29" s="61" t="str">
        <f>concat("  Scored Component 1 — ",$G$94)</f>
        <v>#REF!</v>
      </c>
      <c r="I29" s="61"/>
      <c r="J29" s="62" t="b">
        <v>0</v>
      </c>
      <c r="K29" s="62" t="b">
        <v>1</v>
      </c>
      <c r="L29" s="63" t="str">
        <f t="shared" ref="L29:L33" si="8">if(J29=TRUE,if(K29=TRUE,"ERROR! You can't check both boxes. A standard part by definition is always for sale. Note, it does NOT need to be for sale from the OEM—standard parts like RAM sticks or M.2 SSDs are already available at many retailers.",""),"")</f>
        <v/>
      </c>
    </row>
    <row r="30" outlineLevel="1">
      <c r="A30" s="39">
        <f t="shared" si="5"/>
        <v>0.05842107675</v>
      </c>
      <c r="B30" s="39" t="str">
        <f>HLOOKUP(G4,'Scored Components + Weights'!C1:V17,7,FALSE)</f>
        <v>#REF!</v>
      </c>
      <c r="C30" s="39">
        <f t="shared" si="6"/>
        <v>0</v>
      </c>
      <c r="D30" s="39" t="str">
        <f t="shared" si="7"/>
        <v>#REF!</v>
      </c>
      <c r="E30" s="39"/>
      <c r="F30" s="39" t="s">
        <v>64</v>
      </c>
      <c r="G30" s="60">
        <v>140.21</v>
      </c>
      <c r="H30" s="61" t="str">
        <f>concat("  Scored Component 2 — ",$G$150)</f>
        <v>#REF!</v>
      </c>
      <c r="I30" s="61"/>
      <c r="J30" s="62" t="b">
        <v>0</v>
      </c>
      <c r="K30" s="62" t="b">
        <v>1</v>
      </c>
      <c r="L30" s="63" t="str">
        <f t="shared" si="8"/>
        <v/>
      </c>
    </row>
    <row r="31" outlineLevel="1">
      <c r="A31" s="39">
        <f t="shared" si="5"/>
        <v>1.000987504</v>
      </c>
      <c r="B31" s="39" t="str">
        <f>HLOOKUP(G4,'Scored Components + Weights'!C1:V17,9,FALSE)</f>
        <v>#REF!</v>
      </c>
      <c r="C31" s="39">
        <f t="shared" si="6"/>
        <v>0</v>
      </c>
      <c r="D31" s="39" t="str">
        <f t="shared" si="7"/>
        <v>#REF!</v>
      </c>
      <c r="E31" s="39"/>
      <c r="F31" s="39" t="s">
        <v>65</v>
      </c>
      <c r="G31" s="60">
        <v>2402.36</v>
      </c>
      <c r="H31" s="61" t="str">
        <f>concat("  Scored Component 3 — ",$G$206)</f>
        <v>#REF!</v>
      </c>
      <c r="I31" s="61"/>
      <c r="J31" s="62" t="b">
        <v>0</v>
      </c>
      <c r="K31" s="62" t="b">
        <v>1</v>
      </c>
      <c r="L31" s="63" t="str">
        <f t="shared" si="8"/>
        <v/>
      </c>
    </row>
    <row r="32" outlineLevel="1">
      <c r="A32" s="39">
        <f t="shared" si="5"/>
        <v>0.01423755932</v>
      </c>
      <c r="B32" s="39" t="str">
        <f>HLOOKUP(G4,'Scored Components + Weights'!C1:V17,11,FALSE)</f>
        <v>#REF!</v>
      </c>
      <c r="C32" s="39">
        <f t="shared" si="6"/>
        <v>0</v>
      </c>
      <c r="D32" s="39" t="str">
        <f t="shared" si="7"/>
        <v>#REF!</v>
      </c>
      <c r="E32" s="39"/>
      <c r="F32" s="39" t="s">
        <v>66</v>
      </c>
      <c r="G32" s="60">
        <v>34.17</v>
      </c>
      <c r="H32" s="61" t="str">
        <f>concat("  Scored Component 4 — ",$G$262)</f>
        <v>#REF!</v>
      </c>
      <c r="I32" s="61"/>
      <c r="J32" s="62" t="b">
        <v>0</v>
      </c>
      <c r="K32" s="62" t="b">
        <v>1</v>
      </c>
      <c r="L32" s="63" t="str">
        <f t="shared" si="8"/>
        <v/>
      </c>
    </row>
    <row r="33" outlineLevel="1">
      <c r="A33" s="39">
        <f t="shared" si="5"/>
        <v>0.01423755932</v>
      </c>
      <c r="B33" s="39" t="str">
        <f>HLOOKUP(G4,'Scored Components + Weights'!C1:V17,13,FALSE)</f>
        <v>#REF!</v>
      </c>
      <c r="C33" s="39">
        <f t="shared" si="6"/>
        <v>0</v>
      </c>
      <c r="D33" s="39" t="str">
        <f t="shared" si="7"/>
        <v>#REF!</v>
      </c>
      <c r="E33" s="39"/>
      <c r="F33" s="39" t="s">
        <v>67</v>
      </c>
      <c r="G33" s="60">
        <v>34.17</v>
      </c>
      <c r="H33" s="61" t="str">
        <f>concat("  Scored Component 5 — ",$G$318)</f>
        <v>#REF!</v>
      </c>
      <c r="I33" s="61"/>
      <c r="J33" s="62" t="b">
        <v>0</v>
      </c>
      <c r="K33" s="62" t="b">
        <v>1</v>
      </c>
      <c r="L33" s="63" t="str">
        <f t="shared" si="8"/>
        <v/>
      </c>
    </row>
    <row r="34" outlineLevel="1">
      <c r="A34" s="39">
        <f t="shared" si="5"/>
        <v>0</v>
      </c>
      <c r="B34" s="39" t="str">
        <f>HLOOKUP(G4,'Scored Components + Weights'!C1:V17,15,FALSE)</f>
        <v>#REF!</v>
      </c>
      <c r="C34" s="39">
        <f t="shared" si="6"/>
        <v>1</v>
      </c>
      <c r="D34" s="39" t="str">
        <f t="shared" si="7"/>
        <v>#REF!</v>
      </c>
      <c r="E34" s="39"/>
      <c r="F34" s="39" t="s">
        <v>68</v>
      </c>
      <c r="G34" s="60"/>
      <c r="H34" s="61" t="str">
        <f>concat("  Scored Component 6 — ",$G$374)</f>
        <v>#REF!</v>
      </c>
      <c r="I34" s="61"/>
      <c r="J34" s="62" t="b">
        <v>1</v>
      </c>
      <c r="K34" s="62" t="b">
        <v>0</v>
      </c>
      <c r="L34" s="64" t="s">
        <v>69</v>
      </c>
    </row>
    <row r="35" outlineLevel="1">
      <c r="A35" s="39">
        <f t="shared" si="5"/>
        <v>0</v>
      </c>
      <c r="B35" s="39" t="str">
        <f>HLOOKUP(G4,'Scored Components + Weights'!C1:V17,17,FALSE)</f>
        <v>#REF!</v>
      </c>
      <c r="C35" s="39">
        <f t="shared" si="6"/>
        <v>0</v>
      </c>
      <c r="D35" s="39" t="str">
        <f t="shared" si="7"/>
        <v>#REF!</v>
      </c>
      <c r="E35" s="39"/>
      <c r="F35" s="39" t="s">
        <v>70</v>
      </c>
      <c r="G35" s="60"/>
      <c r="H35" s="61" t="str">
        <f>concat("  Scored Component 7 — ",$G$430)</f>
        <v>#REF!</v>
      </c>
      <c r="I35" s="61"/>
      <c r="J35" s="62" t="b">
        <v>0</v>
      </c>
      <c r="K35" s="62" t="b">
        <v>1</v>
      </c>
      <c r="L35" s="63" t="str">
        <f>if(J35=TRUE,if(K35=TRUE,"ERROR! You can't check both boxes. A standard part by definition is always for sale. Note, it does NOT need to be for sale from the OEM—standard parts like RAM sticks or M.2 SSDs are already available at many retailers.",""),"")</f>
        <v/>
      </c>
    </row>
    <row r="36" outlineLevel="1">
      <c r="A36" s="39"/>
      <c r="B36" s="39"/>
      <c r="C36" s="39"/>
      <c r="D36" s="39"/>
      <c r="E36" s="39"/>
      <c r="F36" s="39"/>
      <c r="G36" s="65"/>
      <c r="H36" s="66"/>
      <c r="I36" s="66"/>
      <c r="J36" s="66"/>
      <c r="K36" s="67"/>
      <c r="L36" s="64"/>
    </row>
    <row r="37" outlineLevel="1">
      <c r="A37" s="39"/>
      <c r="B37" s="39"/>
      <c r="C37" s="39"/>
      <c r="D37" s="39"/>
      <c r="E37" s="39"/>
      <c r="F37" s="39">
        <v>3.5</v>
      </c>
      <c r="G37" s="51" t="str">
        <f>ifs(G5="","",G5="YES",SUM(D29:D35),G6="YES",if(sum(D29:D35)&gt;0.9,0.9,sum(D29:D35)),G5="NO",if(sum(D29:D35)&gt;0.85,0.85,SUM(D29:D35)))</f>
        <v>#REF!</v>
      </c>
      <c r="H37" s="48" t="s">
        <v>71</v>
      </c>
      <c r="I37" s="49"/>
      <c r="J37" s="49"/>
      <c r="K37" s="50"/>
      <c r="L37" s="59" t="s">
        <v>49</v>
      </c>
    </row>
    <row r="38" ht="22.5" customHeight="1" collapsed="1">
      <c r="A38" s="8"/>
      <c r="B38" s="8"/>
      <c r="C38" s="8"/>
      <c r="D38" s="8"/>
      <c r="E38" s="8"/>
      <c r="F38" s="68" t="s">
        <v>72</v>
      </c>
      <c r="G38" s="9"/>
      <c r="H38" s="9"/>
      <c r="I38" s="9"/>
      <c r="J38" s="9"/>
      <c r="K38" s="9"/>
      <c r="L38" s="10"/>
    </row>
    <row r="39" hidden="1" outlineLevel="1">
      <c r="A39" s="39"/>
      <c r="B39" s="39"/>
      <c r="C39" s="39"/>
      <c r="D39" s="39"/>
      <c r="E39" s="39"/>
      <c r="F39" s="39"/>
      <c r="G39" s="69" t="s">
        <v>73</v>
      </c>
      <c r="I39" s="70" t="s">
        <v>74</v>
      </c>
      <c r="J39" s="70" t="s">
        <v>75</v>
      </c>
      <c r="K39" s="70" t="s">
        <v>76</v>
      </c>
      <c r="L39" s="71" t="s">
        <v>77</v>
      </c>
    </row>
    <row r="40" hidden="1" outlineLevel="1">
      <c r="A40" s="39"/>
      <c r="B40" s="39"/>
      <c r="C40" s="39"/>
      <c r="D40" s="39"/>
      <c r="E40" s="39"/>
      <c r="F40" s="39">
        <v>4.1</v>
      </c>
      <c r="G40" s="72" t="str">
        <f>IFERROR(__xludf.DUMMYFUNCTION("unique(filter(flatten(G98:G147,G154:G203,G210:G259,G266:G315,G322:G371,G378:G427,G434:G483),flatten(G98:G147,G154:G203,G210:G259,G266:G315,G322:G371,G378:G427,G434:G483)&lt;&gt;""""))"),"Hand")</f>
        <v>Hand</v>
      </c>
      <c r="I40" s="73" t="str">
        <f t="shared" ref="I40:I77" si="9">if(G40="","",vlookup(G40,Tools!$A$8:$E$177,5))</f>
        <v>#REF!</v>
      </c>
      <c r="J40" s="74">
        <f t="shared" ref="J40:J77" si="10">IF(G40="","",(IF(COUNTIF(G$98:G$147,G40)&gt;0,1,0)+IF(COUNTIF(G$154:G$203,G40)&gt;0,1,0)+IF(COUNTIF(G$210:G$259,G40)&gt;0,1,0)+IF(COUNTIF(G$266:G$315,G40)&gt;0,1,0)+IF(COUNTIF(G$322:G$371,G40)&gt;0,1,0)+IF(COUNTIF(G$378:G$427,G40)&gt;0,1,0)+IF(COUNTIF(G$434:G$483,G40)&gt;0,1,0)))</f>
        <v>5</v>
      </c>
      <c r="K40" s="74">
        <f t="shared" ref="K40:K77" si="11">IF(G40="","",(COUNTIF(G$98:G$147,G40)+COUNTIF(G$154:G$203,G40)+COUNTIF(G$210:G$259,G40)+COUNTIF(G$266:G$315,G40)+COUNTIF(G$322:G$371,G40)+COUNTIF(G$378:G$427,G40)+COUNTIF(G$434:G$483,G40)))</f>
        <v>26</v>
      </c>
      <c r="L40" s="71" t="s">
        <v>78</v>
      </c>
    </row>
    <row r="41" hidden="1" outlineLevel="1">
      <c r="A41" s="39"/>
      <c r="B41" s="39"/>
      <c r="C41" s="39"/>
      <c r="D41" s="39"/>
      <c r="E41" s="39"/>
      <c r="F41" s="39">
        <v>4.1</v>
      </c>
      <c r="G41" s="72" t="str">
        <f>IFERROR(__xludf.DUMMYFUNCTION("""COMPUTED_VALUE"""),"Screwdriver: Torx T5")</f>
        <v>Screwdriver: Torx T5</v>
      </c>
      <c r="I41" s="73" t="str">
        <f t="shared" si="9"/>
        <v>#REF!</v>
      </c>
      <c r="J41" s="74">
        <f t="shared" si="10"/>
        <v>5</v>
      </c>
      <c r="K41" s="74">
        <f t="shared" si="11"/>
        <v>5</v>
      </c>
      <c r="L41" s="71"/>
    </row>
    <row r="42" hidden="1" outlineLevel="1">
      <c r="A42" s="39"/>
      <c r="B42" s="39"/>
      <c r="C42" s="39"/>
      <c r="D42" s="39"/>
      <c r="E42" s="39"/>
      <c r="F42" s="39">
        <v>4.1</v>
      </c>
      <c r="G42" s="72" t="str">
        <f>IFERROR(__xludf.DUMMYFUNCTION("""COMPUTED_VALUE"""),"Combo: Pick + Suction")</f>
        <v>Combo: Pick + Suction</v>
      </c>
      <c r="I42" s="73" t="str">
        <f t="shared" si="9"/>
        <v>#REF!</v>
      </c>
      <c r="J42" s="74">
        <f t="shared" si="10"/>
        <v>4</v>
      </c>
      <c r="K42" s="74">
        <f t="shared" si="11"/>
        <v>4</v>
      </c>
      <c r="L42" s="71"/>
    </row>
    <row r="43" hidden="1" outlineLevel="1">
      <c r="A43" s="39"/>
      <c r="B43" s="39"/>
      <c r="C43" s="39"/>
      <c r="D43" s="39"/>
      <c r="E43" s="39"/>
      <c r="F43" s="39">
        <v>4.1</v>
      </c>
      <c r="G43" s="72" t="str">
        <f>IFERROR(__xludf.DUMMYFUNCTION("""COMPUTED_VALUE"""),"Tweezers")</f>
        <v>Tweezers</v>
      </c>
      <c r="I43" s="73" t="str">
        <f t="shared" si="9"/>
        <v>#REF!</v>
      </c>
      <c r="J43" s="74">
        <f t="shared" si="10"/>
        <v>5</v>
      </c>
      <c r="K43" s="74">
        <f t="shared" si="11"/>
        <v>28</v>
      </c>
      <c r="L43" s="71"/>
    </row>
    <row r="44" hidden="1" outlineLevel="1">
      <c r="A44" s="39"/>
      <c r="B44" s="39"/>
      <c r="C44" s="39"/>
      <c r="D44" s="39"/>
      <c r="E44" s="39"/>
      <c r="F44" s="39">
        <v>4.1</v>
      </c>
      <c r="G44" s="72" t="str">
        <f>IFERROR(__xludf.DUMMYFUNCTION("""COMPUTED_VALUE"""),"Screwdriver: Phillips 0")</f>
        <v>Screwdriver: Phillips 0</v>
      </c>
      <c r="I44" s="73" t="str">
        <f t="shared" si="9"/>
        <v>#REF!</v>
      </c>
      <c r="J44" s="74">
        <f t="shared" si="10"/>
        <v>3</v>
      </c>
      <c r="K44" s="74">
        <f t="shared" si="11"/>
        <v>3</v>
      </c>
      <c r="L44" s="71"/>
    </row>
    <row r="45" hidden="1" outlineLevel="1">
      <c r="A45" s="39"/>
      <c r="B45" s="39"/>
      <c r="C45" s="39"/>
      <c r="D45" s="39"/>
      <c r="E45" s="39"/>
      <c r="F45" s="39">
        <v>4.1</v>
      </c>
      <c r="G45" s="72" t="str">
        <f>IFERROR(__xludf.DUMMYFUNCTION("""COMPUTED_VALUE"""),"Spudger")</f>
        <v>Spudger</v>
      </c>
      <c r="I45" s="73" t="str">
        <f t="shared" si="9"/>
        <v>#REF!</v>
      </c>
      <c r="J45" s="74">
        <f t="shared" si="10"/>
        <v>1</v>
      </c>
      <c r="K45" s="74">
        <f t="shared" si="11"/>
        <v>3</v>
      </c>
      <c r="L45" s="71"/>
    </row>
    <row r="46" hidden="1" outlineLevel="1">
      <c r="A46" s="39"/>
      <c r="B46" s="39"/>
      <c r="C46" s="39"/>
      <c r="D46" s="39"/>
      <c r="E46" s="39"/>
      <c r="F46" s="39">
        <v>4.1</v>
      </c>
      <c r="G46" s="72"/>
      <c r="I46" s="73" t="str">
        <f t="shared" si="9"/>
        <v/>
      </c>
      <c r="J46" s="74" t="str">
        <f t="shared" si="10"/>
        <v/>
      </c>
      <c r="K46" s="74" t="str">
        <f t="shared" si="11"/>
        <v/>
      </c>
      <c r="L46" s="71"/>
    </row>
    <row r="47" hidden="1" outlineLevel="1">
      <c r="A47" s="39"/>
      <c r="B47" s="39"/>
      <c r="C47" s="39"/>
      <c r="D47" s="39"/>
      <c r="E47" s="39"/>
      <c r="F47" s="39">
        <v>4.1</v>
      </c>
      <c r="G47" s="72"/>
      <c r="I47" s="73" t="str">
        <f t="shared" si="9"/>
        <v/>
      </c>
      <c r="J47" s="74" t="str">
        <f t="shared" si="10"/>
        <v/>
      </c>
      <c r="K47" s="74" t="str">
        <f t="shared" si="11"/>
        <v/>
      </c>
      <c r="L47" s="71"/>
    </row>
    <row r="48" hidden="1" outlineLevel="1">
      <c r="A48" s="39"/>
      <c r="B48" s="39"/>
      <c r="C48" s="39"/>
      <c r="D48" s="39"/>
      <c r="E48" s="39"/>
      <c r="F48" s="39">
        <v>4.1</v>
      </c>
      <c r="G48" s="72"/>
      <c r="I48" s="73" t="str">
        <f t="shared" si="9"/>
        <v/>
      </c>
      <c r="J48" s="74" t="str">
        <f t="shared" si="10"/>
        <v/>
      </c>
      <c r="K48" s="74" t="str">
        <f t="shared" si="11"/>
        <v/>
      </c>
      <c r="L48" s="71"/>
    </row>
    <row r="49" hidden="1" outlineLevel="1">
      <c r="A49" s="39"/>
      <c r="B49" s="39"/>
      <c r="C49" s="39"/>
      <c r="D49" s="39"/>
      <c r="E49" s="39"/>
      <c r="F49" s="39">
        <v>4.1</v>
      </c>
      <c r="G49" s="72"/>
      <c r="I49" s="73" t="str">
        <f t="shared" si="9"/>
        <v/>
      </c>
      <c r="J49" s="74" t="str">
        <f t="shared" si="10"/>
        <v/>
      </c>
      <c r="K49" s="74" t="str">
        <f t="shared" si="11"/>
        <v/>
      </c>
      <c r="L49" s="71"/>
    </row>
    <row r="50" hidden="1" outlineLevel="1">
      <c r="A50" s="39"/>
      <c r="B50" s="39"/>
      <c r="C50" s="39"/>
      <c r="D50" s="39"/>
      <c r="E50" s="39"/>
      <c r="F50" s="39">
        <v>4.1</v>
      </c>
      <c r="G50" s="72"/>
      <c r="I50" s="73" t="str">
        <f t="shared" si="9"/>
        <v/>
      </c>
      <c r="J50" s="74" t="str">
        <f t="shared" si="10"/>
        <v/>
      </c>
      <c r="K50" s="74" t="str">
        <f t="shared" si="11"/>
        <v/>
      </c>
      <c r="L50" s="71"/>
    </row>
    <row r="51" hidden="1" outlineLevel="1">
      <c r="A51" s="39"/>
      <c r="B51" s="39"/>
      <c r="C51" s="39"/>
      <c r="D51" s="39"/>
      <c r="E51" s="39"/>
      <c r="F51" s="39">
        <v>4.1</v>
      </c>
      <c r="G51" s="72"/>
      <c r="I51" s="73" t="str">
        <f t="shared" si="9"/>
        <v/>
      </c>
      <c r="J51" s="74" t="str">
        <f t="shared" si="10"/>
        <v/>
      </c>
      <c r="K51" s="74" t="str">
        <f t="shared" si="11"/>
        <v/>
      </c>
      <c r="L51" s="71"/>
    </row>
    <row r="52" hidden="1" outlineLevel="1">
      <c r="A52" s="39"/>
      <c r="B52" s="39"/>
      <c r="C52" s="39"/>
      <c r="D52" s="39"/>
      <c r="E52" s="39"/>
      <c r="F52" s="39">
        <v>4.1</v>
      </c>
      <c r="G52" s="72"/>
      <c r="I52" s="73" t="str">
        <f t="shared" si="9"/>
        <v/>
      </c>
      <c r="J52" s="74" t="str">
        <f t="shared" si="10"/>
        <v/>
      </c>
      <c r="K52" s="74" t="str">
        <f t="shared" si="11"/>
        <v/>
      </c>
      <c r="L52" s="71"/>
    </row>
    <row r="53" hidden="1" outlineLevel="1">
      <c r="A53" s="39"/>
      <c r="B53" s="39"/>
      <c r="C53" s="39"/>
      <c r="D53" s="39"/>
      <c r="E53" s="39"/>
      <c r="F53" s="39">
        <v>4.1</v>
      </c>
      <c r="G53" s="72"/>
      <c r="I53" s="73" t="str">
        <f t="shared" si="9"/>
        <v/>
      </c>
      <c r="J53" s="74" t="str">
        <f t="shared" si="10"/>
        <v/>
      </c>
      <c r="K53" s="74" t="str">
        <f t="shared" si="11"/>
        <v/>
      </c>
      <c r="L53" s="71"/>
    </row>
    <row r="54" hidden="1" outlineLevel="1">
      <c r="A54" s="39"/>
      <c r="B54" s="39"/>
      <c r="C54" s="39"/>
      <c r="D54" s="39"/>
      <c r="E54" s="39"/>
      <c r="F54" s="39">
        <v>4.1</v>
      </c>
      <c r="G54" s="72"/>
      <c r="I54" s="73" t="str">
        <f t="shared" si="9"/>
        <v/>
      </c>
      <c r="J54" s="74" t="str">
        <f t="shared" si="10"/>
        <v/>
      </c>
      <c r="K54" s="74" t="str">
        <f t="shared" si="11"/>
        <v/>
      </c>
      <c r="L54" s="71"/>
    </row>
    <row r="55" hidden="1" outlineLevel="1">
      <c r="A55" s="39"/>
      <c r="B55" s="39"/>
      <c r="C55" s="39"/>
      <c r="D55" s="39"/>
      <c r="E55" s="39"/>
      <c r="F55" s="39">
        <v>4.1</v>
      </c>
      <c r="G55" s="72"/>
      <c r="I55" s="73" t="str">
        <f t="shared" si="9"/>
        <v/>
      </c>
      <c r="J55" s="74" t="str">
        <f t="shared" si="10"/>
        <v/>
      </c>
      <c r="K55" s="74" t="str">
        <f t="shared" si="11"/>
        <v/>
      </c>
      <c r="L55" s="71"/>
    </row>
    <row r="56" hidden="1" outlineLevel="1">
      <c r="A56" s="39"/>
      <c r="B56" s="39"/>
      <c r="C56" s="39"/>
      <c r="D56" s="39"/>
      <c r="E56" s="39"/>
      <c r="F56" s="39">
        <v>4.1</v>
      </c>
      <c r="G56" s="72"/>
      <c r="I56" s="73" t="str">
        <f t="shared" si="9"/>
        <v/>
      </c>
      <c r="J56" s="74" t="str">
        <f t="shared" si="10"/>
        <v/>
      </c>
      <c r="K56" s="74" t="str">
        <f t="shared" si="11"/>
        <v/>
      </c>
      <c r="L56" s="71"/>
    </row>
    <row r="57" hidden="1" outlineLevel="1">
      <c r="A57" s="39"/>
      <c r="B57" s="39"/>
      <c r="C57" s="39"/>
      <c r="D57" s="39"/>
      <c r="E57" s="39"/>
      <c r="F57" s="39">
        <v>4.1</v>
      </c>
      <c r="G57" s="72"/>
      <c r="I57" s="73" t="str">
        <f t="shared" si="9"/>
        <v/>
      </c>
      <c r="J57" s="74" t="str">
        <f t="shared" si="10"/>
        <v/>
      </c>
      <c r="K57" s="74" t="str">
        <f t="shared" si="11"/>
        <v/>
      </c>
      <c r="L57" s="71"/>
    </row>
    <row r="58" hidden="1" outlineLevel="1">
      <c r="A58" s="39"/>
      <c r="B58" s="39"/>
      <c r="C58" s="39"/>
      <c r="D58" s="39"/>
      <c r="E58" s="39"/>
      <c r="F58" s="39">
        <v>4.1</v>
      </c>
      <c r="G58" s="72"/>
      <c r="I58" s="73" t="str">
        <f t="shared" si="9"/>
        <v/>
      </c>
      <c r="J58" s="74" t="str">
        <f t="shared" si="10"/>
        <v/>
      </c>
      <c r="K58" s="74" t="str">
        <f t="shared" si="11"/>
        <v/>
      </c>
      <c r="L58" s="71"/>
    </row>
    <row r="59" hidden="1" outlineLevel="1">
      <c r="A59" s="39"/>
      <c r="B59" s="39"/>
      <c r="C59" s="39"/>
      <c r="D59" s="39"/>
      <c r="E59" s="39"/>
      <c r="F59" s="39">
        <v>4.1</v>
      </c>
      <c r="G59" s="72"/>
      <c r="I59" s="73" t="str">
        <f t="shared" si="9"/>
        <v/>
      </c>
      <c r="J59" s="74" t="str">
        <f t="shared" si="10"/>
        <v/>
      </c>
      <c r="K59" s="74" t="str">
        <f t="shared" si="11"/>
        <v/>
      </c>
      <c r="L59" s="71"/>
    </row>
    <row r="60" hidden="1" outlineLevel="1">
      <c r="A60" s="39"/>
      <c r="B60" s="39"/>
      <c r="C60" s="39"/>
      <c r="D60" s="39"/>
      <c r="E60" s="39"/>
      <c r="F60" s="39">
        <v>4.1</v>
      </c>
      <c r="G60" s="72"/>
      <c r="I60" s="73" t="str">
        <f t="shared" si="9"/>
        <v/>
      </c>
      <c r="J60" s="74" t="str">
        <f t="shared" si="10"/>
        <v/>
      </c>
      <c r="K60" s="74" t="str">
        <f t="shared" si="11"/>
        <v/>
      </c>
      <c r="L60" s="71"/>
    </row>
    <row r="61" hidden="1" outlineLevel="1">
      <c r="A61" s="39"/>
      <c r="B61" s="39"/>
      <c r="C61" s="39"/>
      <c r="D61" s="39"/>
      <c r="E61" s="39"/>
      <c r="F61" s="39">
        <v>4.1</v>
      </c>
      <c r="G61" s="72"/>
      <c r="I61" s="73" t="str">
        <f t="shared" si="9"/>
        <v/>
      </c>
      <c r="J61" s="74" t="str">
        <f t="shared" si="10"/>
        <v/>
      </c>
      <c r="K61" s="74" t="str">
        <f t="shared" si="11"/>
        <v/>
      </c>
      <c r="L61" s="71"/>
    </row>
    <row r="62" hidden="1" outlineLevel="1">
      <c r="A62" s="39"/>
      <c r="B62" s="39"/>
      <c r="C62" s="39"/>
      <c r="D62" s="39"/>
      <c r="E62" s="39"/>
      <c r="F62" s="39">
        <v>4.1</v>
      </c>
      <c r="G62" s="72"/>
      <c r="I62" s="73" t="str">
        <f t="shared" si="9"/>
        <v/>
      </c>
      <c r="J62" s="74" t="str">
        <f t="shared" si="10"/>
        <v/>
      </c>
      <c r="K62" s="74" t="str">
        <f t="shared" si="11"/>
        <v/>
      </c>
      <c r="L62" s="71"/>
    </row>
    <row r="63" hidden="1" outlineLevel="1">
      <c r="A63" s="39"/>
      <c r="B63" s="39"/>
      <c r="C63" s="39"/>
      <c r="D63" s="39"/>
      <c r="E63" s="39"/>
      <c r="F63" s="39">
        <v>4.1</v>
      </c>
      <c r="G63" s="72"/>
      <c r="I63" s="73" t="str">
        <f t="shared" si="9"/>
        <v/>
      </c>
      <c r="J63" s="74" t="str">
        <f t="shared" si="10"/>
        <v/>
      </c>
      <c r="K63" s="74" t="str">
        <f t="shared" si="11"/>
        <v/>
      </c>
      <c r="L63" s="71"/>
    </row>
    <row r="64" hidden="1" outlineLevel="1">
      <c r="A64" s="39"/>
      <c r="B64" s="39"/>
      <c r="C64" s="39"/>
      <c r="D64" s="39"/>
      <c r="E64" s="39"/>
      <c r="F64" s="39">
        <v>4.1</v>
      </c>
      <c r="G64" s="72"/>
      <c r="I64" s="73" t="str">
        <f t="shared" si="9"/>
        <v/>
      </c>
      <c r="J64" s="74" t="str">
        <f t="shared" si="10"/>
        <v/>
      </c>
      <c r="K64" s="74" t="str">
        <f t="shared" si="11"/>
        <v/>
      </c>
      <c r="L64" s="71"/>
    </row>
    <row r="65" hidden="1" outlineLevel="1">
      <c r="A65" s="39"/>
      <c r="B65" s="39"/>
      <c r="C65" s="39"/>
      <c r="D65" s="39"/>
      <c r="E65" s="39"/>
      <c r="F65" s="39">
        <v>4.1</v>
      </c>
      <c r="G65" s="72"/>
      <c r="I65" s="73" t="str">
        <f t="shared" si="9"/>
        <v/>
      </c>
      <c r="J65" s="74" t="str">
        <f t="shared" si="10"/>
        <v/>
      </c>
      <c r="K65" s="74" t="str">
        <f t="shared" si="11"/>
        <v/>
      </c>
      <c r="L65" s="71"/>
    </row>
    <row r="66" hidden="1" outlineLevel="1">
      <c r="A66" s="39"/>
      <c r="B66" s="39"/>
      <c r="C66" s="39"/>
      <c r="D66" s="39"/>
      <c r="E66" s="39"/>
      <c r="F66" s="39">
        <v>4.1</v>
      </c>
      <c r="G66" s="72"/>
      <c r="I66" s="73" t="str">
        <f t="shared" si="9"/>
        <v/>
      </c>
      <c r="J66" s="74" t="str">
        <f t="shared" si="10"/>
        <v/>
      </c>
      <c r="K66" s="74" t="str">
        <f t="shared" si="11"/>
        <v/>
      </c>
      <c r="L66" s="71"/>
    </row>
    <row r="67" hidden="1" outlineLevel="1">
      <c r="A67" s="39"/>
      <c r="B67" s="39"/>
      <c r="C67" s="39"/>
      <c r="D67" s="39"/>
      <c r="E67" s="39"/>
      <c r="F67" s="39">
        <v>4.1</v>
      </c>
      <c r="G67" s="72"/>
      <c r="I67" s="73" t="str">
        <f t="shared" si="9"/>
        <v/>
      </c>
      <c r="J67" s="74" t="str">
        <f t="shared" si="10"/>
        <v/>
      </c>
      <c r="K67" s="74" t="str">
        <f t="shared" si="11"/>
        <v/>
      </c>
      <c r="L67" s="71"/>
    </row>
    <row r="68" hidden="1" outlineLevel="1">
      <c r="A68" s="39"/>
      <c r="B68" s="39"/>
      <c r="C68" s="39"/>
      <c r="D68" s="39"/>
      <c r="E68" s="39"/>
      <c r="F68" s="39">
        <v>4.1</v>
      </c>
      <c r="G68" s="72"/>
      <c r="I68" s="73" t="str">
        <f t="shared" si="9"/>
        <v/>
      </c>
      <c r="J68" s="74" t="str">
        <f t="shared" si="10"/>
        <v/>
      </c>
      <c r="K68" s="74" t="str">
        <f t="shared" si="11"/>
        <v/>
      </c>
      <c r="L68" s="71"/>
    </row>
    <row r="69" hidden="1" outlineLevel="1">
      <c r="A69" s="39"/>
      <c r="B69" s="39"/>
      <c r="C69" s="39"/>
      <c r="D69" s="39"/>
      <c r="E69" s="39"/>
      <c r="F69" s="39">
        <v>4.1</v>
      </c>
      <c r="G69" s="72"/>
      <c r="I69" s="73" t="str">
        <f t="shared" si="9"/>
        <v/>
      </c>
      <c r="J69" s="74" t="str">
        <f t="shared" si="10"/>
        <v/>
      </c>
      <c r="K69" s="74" t="str">
        <f t="shared" si="11"/>
        <v/>
      </c>
      <c r="L69" s="71"/>
    </row>
    <row r="70" hidden="1" outlineLevel="1">
      <c r="A70" s="39"/>
      <c r="B70" s="39"/>
      <c r="C70" s="39"/>
      <c r="D70" s="39"/>
      <c r="E70" s="39"/>
      <c r="F70" s="39">
        <v>4.1</v>
      </c>
      <c r="G70" s="72"/>
      <c r="I70" s="73" t="str">
        <f t="shared" si="9"/>
        <v/>
      </c>
      <c r="J70" s="74" t="str">
        <f t="shared" si="10"/>
        <v/>
      </c>
      <c r="K70" s="74" t="str">
        <f t="shared" si="11"/>
        <v/>
      </c>
      <c r="L70" s="71"/>
    </row>
    <row r="71" hidden="1" outlineLevel="1">
      <c r="A71" s="39"/>
      <c r="B71" s="39"/>
      <c r="C71" s="39"/>
      <c r="D71" s="39"/>
      <c r="E71" s="39"/>
      <c r="F71" s="39">
        <v>4.1</v>
      </c>
      <c r="G71" s="72"/>
      <c r="I71" s="73" t="str">
        <f t="shared" si="9"/>
        <v/>
      </c>
      <c r="J71" s="74" t="str">
        <f t="shared" si="10"/>
        <v/>
      </c>
      <c r="K71" s="74" t="str">
        <f t="shared" si="11"/>
        <v/>
      </c>
      <c r="L71" s="71"/>
    </row>
    <row r="72" hidden="1" outlineLevel="1">
      <c r="A72" s="39"/>
      <c r="B72" s="39"/>
      <c r="C72" s="39"/>
      <c r="D72" s="39"/>
      <c r="E72" s="39"/>
      <c r="F72" s="39">
        <v>4.1</v>
      </c>
      <c r="G72" s="72"/>
      <c r="I72" s="73" t="str">
        <f t="shared" si="9"/>
        <v/>
      </c>
      <c r="J72" s="74" t="str">
        <f t="shared" si="10"/>
        <v/>
      </c>
      <c r="K72" s="74" t="str">
        <f t="shared" si="11"/>
        <v/>
      </c>
      <c r="L72" s="71"/>
    </row>
    <row r="73" hidden="1" outlineLevel="1">
      <c r="A73" s="39"/>
      <c r="B73" s="39"/>
      <c r="C73" s="39"/>
      <c r="D73" s="39"/>
      <c r="E73" s="39"/>
      <c r="F73" s="39">
        <v>4.1</v>
      </c>
      <c r="G73" s="72"/>
      <c r="I73" s="73" t="str">
        <f t="shared" si="9"/>
        <v/>
      </c>
      <c r="J73" s="74" t="str">
        <f t="shared" si="10"/>
        <v/>
      </c>
      <c r="K73" s="74" t="str">
        <f t="shared" si="11"/>
        <v/>
      </c>
      <c r="L73" s="71"/>
    </row>
    <row r="74" hidden="1" outlineLevel="1">
      <c r="A74" s="39"/>
      <c r="B74" s="39"/>
      <c r="C74" s="39"/>
      <c r="D74" s="39"/>
      <c r="E74" s="39"/>
      <c r="F74" s="39">
        <v>4.1</v>
      </c>
      <c r="G74" s="72"/>
      <c r="I74" s="73" t="str">
        <f t="shared" si="9"/>
        <v/>
      </c>
      <c r="J74" s="74" t="str">
        <f t="shared" si="10"/>
        <v/>
      </c>
      <c r="K74" s="74" t="str">
        <f t="shared" si="11"/>
        <v/>
      </c>
      <c r="L74" s="71"/>
    </row>
    <row r="75" hidden="1" outlineLevel="1">
      <c r="A75" s="39"/>
      <c r="B75" s="39"/>
      <c r="C75" s="39"/>
      <c r="D75" s="39"/>
      <c r="E75" s="39"/>
      <c r="F75" s="39">
        <v>4.1</v>
      </c>
      <c r="G75" s="72"/>
      <c r="I75" s="73" t="str">
        <f t="shared" si="9"/>
        <v/>
      </c>
      <c r="J75" s="74" t="str">
        <f t="shared" si="10"/>
        <v/>
      </c>
      <c r="K75" s="74" t="str">
        <f t="shared" si="11"/>
        <v/>
      </c>
      <c r="L75" s="71"/>
    </row>
    <row r="76" hidden="1" outlineLevel="1">
      <c r="A76" s="39"/>
      <c r="B76" s="39"/>
      <c r="C76" s="39"/>
      <c r="D76" s="39"/>
      <c r="E76" s="39"/>
      <c r="F76" s="39">
        <v>4.1</v>
      </c>
      <c r="G76" s="72"/>
      <c r="I76" s="73" t="str">
        <f t="shared" si="9"/>
        <v/>
      </c>
      <c r="J76" s="74" t="str">
        <f t="shared" si="10"/>
        <v/>
      </c>
      <c r="K76" s="74" t="str">
        <f t="shared" si="11"/>
        <v/>
      </c>
      <c r="L76" s="71"/>
    </row>
    <row r="77" hidden="1" outlineLevel="1">
      <c r="A77" s="39"/>
      <c r="B77" s="39"/>
      <c r="C77" s="39"/>
      <c r="D77" s="39"/>
      <c r="E77" s="39"/>
      <c r="F77" s="39">
        <v>4.1</v>
      </c>
      <c r="G77" s="72"/>
      <c r="I77" s="73" t="str">
        <f t="shared" si="9"/>
        <v/>
      </c>
      <c r="J77" s="74" t="str">
        <f t="shared" si="10"/>
        <v/>
      </c>
      <c r="K77" s="74" t="str">
        <f t="shared" si="11"/>
        <v/>
      </c>
      <c r="L77" s="71"/>
    </row>
    <row r="78" hidden="1" outlineLevel="1">
      <c r="A78" s="75"/>
      <c r="B78" s="39"/>
      <c r="G78" s="75"/>
      <c r="L78" s="71" t="s">
        <v>79</v>
      </c>
    </row>
    <row r="79" hidden="1" outlineLevel="1">
      <c r="A79" s="39"/>
      <c r="B79" s="39"/>
      <c r="C79" s="39"/>
      <c r="D79" s="39"/>
      <c r="E79" s="39"/>
      <c r="F79" s="39">
        <v>4.2</v>
      </c>
      <c r="G79" s="51" t="str">
        <f>sum(I40:K77)</f>
        <v>#REF!</v>
      </c>
      <c r="H79" s="76" t="s">
        <v>80</v>
      </c>
    </row>
    <row r="80" ht="22.5" customHeight="1" collapsed="1">
      <c r="A80" s="8"/>
      <c r="B80" s="8"/>
      <c r="C80" s="8"/>
      <c r="D80" s="8"/>
      <c r="E80" s="8"/>
      <c r="F80" s="8" t="s">
        <v>81</v>
      </c>
      <c r="G80" s="9"/>
      <c r="H80" s="9"/>
      <c r="I80" s="9"/>
      <c r="J80" s="9"/>
      <c r="K80" s="9"/>
      <c r="L80" s="10"/>
    </row>
    <row r="81" hidden="1" outlineLevel="1">
      <c r="A81" s="77" t="s">
        <v>82</v>
      </c>
      <c r="B81" s="77" t="s">
        <v>83</v>
      </c>
      <c r="C81" s="77" t="s">
        <v>84</v>
      </c>
      <c r="D81" s="77" t="s">
        <v>85</v>
      </c>
      <c r="E81" s="39"/>
      <c r="F81" s="39"/>
      <c r="G81" s="78" t="s">
        <v>86</v>
      </c>
      <c r="H81" s="79"/>
      <c r="I81" s="80" t="s">
        <v>87</v>
      </c>
      <c r="J81" s="80"/>
      <c r="K81" s="81" t="s">
        <v>88</v>
      </c>
      <c r="L81" s="82" t="s">
        <v>89</v>
      </c>
    </row>
    <row r="82" hidden="1" outlineLevel="1">
      <c r="A82" s="39">
        <f t="shared" ref="A82:A90" si="12">ifs(I82="",1,I82="Part Fully Functional (Yay!)",1,I82="Part Partially Functional (Huh?)",0.5,I82="Part Nonfunctional (Argh)",0,I82="Device Nonfunctional (Noooo!)",0)</f>
        <v>1</v>
      </c>
      <c r="B82" s="39" t="str">
        <f t="shared" ref="B82:B90" si="13">if(I82="Device Nonfunctional (Noooo!)",-0.5,"")</f>
        <v/>
      </c>
      <c r="C82" s="39">
        <f t="shared" ref="C82:C90" si="14">if(K82=TRUE,0.75,1)</f>
        <v>1</v>
      </c>
      <c r="D82" s="39"/>
      <c r="E82" s="39"/>
      <c r="F82" s="39">
        <v>6.1</v>
      </c>
      <c r="G82" s="83" t="str">
        <f>concat("  Priority Part 1 — ",G94)</f>
        <v>#REF!</v>
      </c>
      <c r="H82" s="84"/>
      <c r="I82" s="85"/>
      <c r="K82" s="86" t="b">
        <v>0</v>
      </c>
      <c r="L82" s="82" t="s">
        <v>90</v>
      </c>
    </row>
    <row r="83" hidden="1" outlineLevel="1">
      <c r="A83" s="39">
        <f t="shared" si="12"/>
        <v>1</v>
      </c>
      <c r="B83" s="39" t="str">
        <f t="shared" si="13"/>
        <v/>
      </c>
      <c r="C83" s="39">
        <f t="shared" si="14"/>
        <v>1</v>
      </c>
      <c r="D83" s="39"/>
      <c r="E83" s="39"/>
      <c r="F83" s="39">
        <v>6.2</v>
      </c>
      <c r="G83" s="83" t="str">
        <f>concat("  Priority Part 2 — ",G150)</f>
        <v>#REF!</v>
      </c>
      <c r="H83" s="84"/>
      <c r="I83" s="85"/>
      <c r="K83" s="86" t="b">
        <v>0</v>
      </c>
      <c r="L83" s="82" t="s">
        <v>91</v>
      </c>
    </row>
    <row r="84" hidden="1" outlineLevel="1">
      <c r="A84" s="39">
        <f t="shared" si="12"/>
        <v>1</v>
      </c>
      <c r="B84" s="39" t="str">
        <f t="shared" si="13"/>
        <v/>
      </c>
      <c r="C84" s="39">
        <f t="shared" si="14"/>
        <v>1</v>
      </c>
      <c r="D84" s="39"/>
      <c r="E84" s="39"/>
      <c r="F84" s="39">
        <v>6.3</v>
      </c>
      <c r="G84" s="83" t="str">
        <f>concat("  Priority Part 3 — ",G206)</f>
        <v>#REF!</v>
      </c>
      <c r="H84" s="84"/>
      <c r="I84" s="85"/>
      <c r="K84" s="86" t="b">
        <v>0</v>
      </c>
      <c r="L84" s="82" t="s">
        <v>92</v>
      </c>
    </row>
    <row r="85" hidden="1" outlineLevel="1">
      <c r="A85" s="39">
        <f t="shared" si="12"/>
        <v>1</v>
      </c>
      <c r="B85" s="39" t="str">
        <f t="shared" si="13"/>
        <v/>
      </c>
      <c r="C85" s="39">
        <f t="shared" si="14"/>
        <v>1</v>
      </c>
      <c r="D85" s="39"/>
      <c r="E85" s="39"/>
      <c r="F85" s="39">
        <v>6.4</v>
      </c>
      <c r="G85" s="83" t="str">
        <f>concat("  Priority Part 4 — ",G262)</f>
        <v>#REF!</v>
      </c>
      <c r="H85" s="84"/>
      <c r="I85" s="85"/>
      <c r="K85" s="86" t="b">
        <v>0</v>
      </c>
      <c r="L85" s="82" t="s">
        <v>93</v>
      </c>
    </row>
    <row r="86" hidden="1" outlineLevel="1">
      <c r="A86" s="39">
        <f t="shared" si="12"/>
        <v>1</v>
      </c>
      <c r="B86" s="39" t="str">
        <f t="shared" si="13"/>
        <v/>
      </c>
      <c r="C86" s="39">
        <f t="shared" si="14"/>
        <v>1</v>
      </c>
      <c r="D86" s="39"/>
      <c r="E86" s="39"/>
      <c r="F86" s="39">
        <v>6.5</v>
      </c>
      <c r="G86" s="83" t="str">
        <f>concat("  Priority Part 5 — ",G318)</f>
        <v>#REF!</v>
      </c>
      <c r="H86" s="84"/>
      <c r="I86" s="85"/>
      <c r="K86" s="86" t="b">
        <v>0</v>
      </c>
      <c r="L86" s="82" t="s">
        <v>94</v>
      </c>
    </row>
    <row r="87" hidden="1" outlineLevel="1">
      <c r="A87" s="39">
        <f t="shared" si="12"/>
        <v>1</v>
      </c>
      <c r="B87" s="39" t="str">
        <f t="shared" si="13"/>
        <v/>
      </c>
      <c r="C87" s="39">
        <f t="shared" si="14"/>
        <v>1</v>
      </c>
      <c r="D87" s="39"/>
      <c r="E87" s="39"/>
      <c r="F87" s="39">
        <v>6.6</v>
      </c>
      <c r="G87" s="83" t="str">
        <f>concat("  Priority Part 6 — ",G374)</f>
        <v>#REF!</v>
      </c>
      <c r="H87" s="84"/>
      <c r="I87" s="85"/>
      <c r="K87" s="87" t="b">
        <v>0</v>
      </c>
      <c r="L87" s="82"/>
    </row>
    <row r="88" hidden="1" outlineLevel="1">
      <c r="A88" s="39">
        <f t="shared" si="12"/>
        <v>1</v>
      </c>
      <c r="B88" s="39" t="str">
        <f t="shared" si="13"/>
        <v/>
      </c>
      <c r="C88" s="39">
        <f t="shared" si="14"/>
        <v>1</v>
      </c>
      <c r="D88" s="39"/>
      <c r="E88" s="39"/>
      <c r="F88" s="39">
        <v>6.7</v>
      </c>
      <c r="G88" s="83" t="str">
        <f>concat("  Priority Part 7 — ",G430)</f>
        <v>#REF!</v>
      </c>
      <c r="H88" s="84"/>
      <c r="I88" s="85"/>
      <c r="K88" s="87" t="b">
        <v>0</v>
      </c>
      <c r="L88" s="88"/>
    </row>
    <row r="89" hidden="1" outlineLevel="1">
      <c r="A89" s="39">
        <f t="shared" si="12"/>
        <v>1</v>
      </c>
      <c r="B89" s="39" t="str">
        <f t="shared" si="13"/>
        <v/>
      </c>
      <c r="C89" s="39">
        <f t="shared" si="14"/>
        <v>1</v>
      </c>
      <c r="D89" s="39">
        <f t="shared" ref="D89:D90" si="15">-2+A89+C89+B89</f>
        <v>0</v>
      </c>
      <c r="E89" s="39"/>
      <c r="F89" s="39">
        <v>6.8</v>
      </c>
      <c r="G89" s="83" t="s">
        <v>95</v>
      </c>
      <c r="H89" s="84"/>
      <c r="I89" s="85"/>
      <c r="K89" s="87" t="b">
        <v>0</v>
      </c>
      <c r="L89" s="88" t="s">
        <v>96</v>
      </c>
    </row>
    <row r="90" hidden="1" outlineLevel="1">
      <c r="A90" s="39">
        <f t="shared" si="12"/>
        <v>1</v>
      </c>
      <c r="B90" s="39" t="str">
        <f t="shared" si="13"/>
        <v/>
      </c>
      <c r="C90" s="39">
        <f t="shared" si="14"/>
        <v>1</v>
      </c>
      <c r="D90" s="39">
        <f t="shared" si="15"/>
        <v>0</v>
      </c>
      <c r="E90" s="39"/>
      <c r="F90" s="39">
        <v>6.9</v>
      </c>
      <c r="G90" s="83" t="s">
        <v>97</v>
      </c>
      <c r="H90" s="84"/>
      <c r="I90" s="85"/>
      <c r="K90" s="87" t="b">
        <v>0</v>
      </c>
      <c r="L90" s="88" t="s">
        <v>96</v>
      </c>
    </row>
    <row r="91" hidden="1" outlineLevel="1">
      <c r="A91" s="39"/>
      <c r="B91" s="39"/>
      <c r="C91" s="39"/>
      <c r="D91" s="39"/>
      <c r="E91" s="39"/>
      <c r="F91" s="39"/>
      <c r="G91" s="89"/>
      <c r="H91" s="90"/>
      <c r="I91" s="90"/>
      <c r="J91" s="90"/>
      <c r="K91" s="91"/>
      <c r="L91" s="87"/>
    </row>
    <row r="92" ht="22.5" customHeight="1">
      <c r="A92" s="8"/>
      <c r="B92" s="8"/>
      <c r="C92" s="8"/>
      <c r="D92" s="8"/>
      <c r="E92" s="8"/>
      <c r="F92" s="8" t="s">
        <v>98</v>
      </c>
      <c r="G92" s="9"/>
      <c r="H92" s="9"/>
      <c r="I92" s="9"/>
      <c r="J92" s="9"/>
      <c r="K92" s="9"/>
      <c r="L92" s="10"/>
    </row>
    <row r="93" outlineLevel="1">
      <c r="A93" s="39"/>
      <c r="B93" s="39"/>
      <c r="C93" s="39"/>
      <c r="D93" s="39"/>
      <c r="E93" s="39"/>
      <c r="F93" s="39">
        <v>9.1</v>
      </c>
      <c r="G93" s="92" t="s">
        <v>99</v>
      </c>
      <c r="H93" s="30" t="s">
        <v>100</v>
      </c>
      <c r="I93" s="18"/>
      <c r="J93" s="18"/>
      <c r="K93" s="19"/>
      <c r="L93" s="71" t="s">
        <v>101</v>
      </c>
    </row>
    <row r="94" outlineLevel="1">
      <c r="A94" s="39"/>
      <c r="B94" s="39"/>
      <c r="C94" s="39"/>
      <c r="D94" s="39"/>
      <c r="E94" s="39"/>
      <c r="F94" s="39">
        <v>9.2</v>
      </c>
      <c r="G94" s="52" t="str">
        <f>if(G4="","TBD",hlookup(G4,'Scored Components + Weights'!1:17,4,FALSE))</f>
        <v>#REF!</v>
      </c>
      <c r="H94" s="53"/>
      <c r="I94" s="53"/>
      <c r="J94" s="53"/>
      <c r="K94" s="54"/>
      <c r="L94" s="71" t="s">
        <v>102</v>
      </c>
    </row>
    <row r="95" outlineLevel="2">
      <c r="A95" s="93"/>
      <c r="B95" s="94"/>
      <c r="C95" s="93"/>
      <c r="D95" s="93"/>
      <c r="E95" s="93"/>
      <c r="F95" s="39"/>
      <c r="G95" s="87" t="b">
        <v>0</v>
      </c>
      <c r="H95" s="87" t="s">
        <v>103</v>
      </c>
      <c r="L95" s="71" t="s">
        <v>104</v>
      </c>
    </row>
    <row r="96" outlineLevel="2">
      <c r="A96" s="93"/>
      <c r="B96" s="94"/>
      <c r="C96" s="93"/>
      <c r="D96" s="93"/>
      <c r="E96" s="93"/>
      <c r="F96" s="39"/>
      <c r="G96" s="87" t="b">
        <v>0</v>
      </c>
      <c r="H96" s="87" t="s">
        <v>105</v>
      </c>
      <c r="L96" s="71" t="s">
        <v>106</v>
      </c>
    </row>
    <row r="97" outlineLevel="2">
      <c r="A97" s="93" t="s">
        <v>74</v>
      </c>
      <c r="B97" s="94" t="s">
        <v>107</v>
      </c>
      <c r="C97" s="93" t="s">
        <v>108</v>
      </c>
      <c r="D97" s="93" t="s">
        <v>109</v>
      </c>
      <c r="E97" s="93" t="s">
        <v>110</v>
      </c>
      <c r="F97" s="39">
        <v>9.3</v>
      </c>
      <c r="G97" s="87" t="s">
        <v>111</v>
      </c>
      <c r="H97" s="87" t="s">
        <v>112</v>
      </c>
      <c r="I97" s="86" t="s">
        <v>113</v>
      </c>
      <c r="J97" s="95" t="s">
        <v>114</v>
      </c>
      <c r="K97" s="95" t="s">
        <v>115</v>
      </c>
      <c r="L97" s="71"/>
    </row>
    <row r="98" outlineLevel="2">
      <c r="A98" s="96" t="str">
        <f t="shared" ref="A98:A147" si="16">if(G98="","",vlookup(G98,Tools!$A$8:$E$177,5,FALSE))</f>
        <v>#REF!</v>
      </c>
      <c r="B98" s="94" t="s">
        <v>41</v>
      </c>
      <c r="C98" s="97" t="str">
        <f t="shared" ref="C98:C147" si="17">if(H98="","",vlookup(H98,'Actions + Proxy Times'!$A$3:$E$118,5,FALSE)*I98)</f>
        <v>#REF!</v>
      </c>
      <c r="D98" s="98" t="str">
        <f t="shared" ref="D98:D147" si="18">if(C98&gt;0,"",sum(J98:K98)*I98)</f>
        <v>#REF!</v>
      </c>
      <c r="E98" s="98" t="str">
        <f t="shared" ref="E98:E147" si="19">if(C98&gt;0,C98*A98,D98*A98)</f>
        <v>#REF!</v>
      </c>
      <c r="F98" s="39">
        <v>9.4</v>
      </c>
      <c r="G98" s="85" t="s">
        <v>116</v>
      </c>
      <c r="H98" s="85" t="s">
        <v>117</v>
      </c>
      <c r="I98" s="42">
        <v>1.0</v>
      </c>
      <c r="J98" s="42"/>
      <c r="K98" s="42"/>
      <c r="L98" s="71" t="s">
        <v>118</v>
      </c>
    </row>
    <row r="99" outlineLevel="2">
      <c r="A99" s="96" t="str">
        <f t="shared" si="16"/>
        <v>#REF!</v>
      </c>
      <c r="B99" s="98">
        <f t="shared" ref="B99:B147" si="20">if(G99="hand",0,if(G99=G98,0,1.44))</f>
        <v>1.44</v>
      </c>
      <c r="C99" s="97" t="str">
        <f t="shared" si="17"/>
        <v>#REF!</v>
      </c>
      <c r="D99" s="98" t="str">
        <f t="shared" si="18"/>
        <v>#REF!</v>
      </c>
      <c r="E99" s="98" t="str">
        <f t="shared" si="19"/>
        <v>#REF!</v>
      </c>
      <c r="G99" s="85" t="s">
        <v>119</v>
      </c>
      <c r="H99" s="85" t="s">
        <v>120</v>
      </c>
      <c r="I99" s="42">
        <v>4.0</v>
      </c>
      <c r="J99" s="42"/>
      <c r="K99" s="42"/>
      <c r="L99" s="71"/>
    </row>
    <row r="100" outlineLevel="2">
      <c r="A100" s="96" t="str">
        <f t="shared" si="16"/>
        <v>#REF!</v>
      </c>
      <c r="B100" s="98">
        <f t="shared" si="20"/>
        <v>0</v>
      </c>
      <c r="C100" s="97" t="str">
        <f t="shared" si="17"/>
        <v>#REF!</v>
      </c>
      <c r="D100" s="98" t="str">
        <f t="shared" si="18"/>
        <v>#REF!</v>
      </c>
      <c r="E100" s="98" t="str">
        <f t="shared" si="19"/>
        <v>#REF!</v>
      </c>
      <c r="G100" s="85" t="s">
        <v>116</v>
      </c>
      <c r="H100" s="85" t="s">
        <v>117</v>
      </c>
      <c r="I100" s="42">
        <v>1.0</v>
      </c>
      <c r="J100" s="42"/>
      <c r="K100" s="42"/>
      <c r="L100" s="71" t="s">
        <v>121</v>
      </c>
    </row>
    <row r="101" outlineLevel="2">
      <c r="A101" s="96" t="str">
        <f t="shared" si="16"/>
        <v>#REF!</v>
      </c>
      <c r="B101" s="98">
        <f t="shared" si="20"/>
        <v>1.44</v>
      </c>
      <c r="C101" s="97" t="str">
        <f t="shared" si="17"/>
        <v>#REF!</v>
      </c>
      <c r="D101" s="98" t="str">
        <f t="shared" si="18"/>
        <v>#REF!</v>
      </c>
      <c r="E101" s="98" t="str">
        <f t="shared" si="19"/>
        <v>#REF!</v>
      </c>
      <c r="G101" s="85" t="s">
        <v>122</v>
      </c>
      <c r="H101" s="85" t="s">
        <v>123</v>
      </c>
      <c r="I101" s="42">
        <v>16.0</v>
      </c>
      <c r="J101" s="42"/>
      <c r="K101" s="42"/>
      <c r="L101" s="71"/>
    </row>
    <row r="102" outlineLevel="2">
      <c r="A102" s="96" t="str">
        <f t="shared" si="16"/>
        <v>#REF!</v>
      </c>
      <c r="B102" s="98">
        <f t="shared" si="20"/>
        <v>0</v>
      </c>
      <c r="C102" s="97" t="str">
        <f t="shared" si="17"/>
        <v>#REF!</v>
      </c>
      <c r="D102" s="98" t="str">
        <f t="shared" si="18"/>
        <v>#REF!</v>
      </c>
      <c r="E102" s="98" t="str">
        <f t="shared" si="19"/>
        <v>#REF!</v>
      </c>
      <c r="G102" s="85" t="s">
        <v>116</v>
      </c>
      <c r="H102" s="85" t="s">
        <v>117</v>
      </c>
      <c r="I102" s="42">
        <v>1.0</v>
      </c>
      <c r="J102" s="42"/>
      <c r="K102" s="42"/>
      <c r="L102" s="71" t="s">
        <v>124</v>
      </c>
    </row>
    <row r="103" outlineLevel="2">
      <c r="A103" s="96" t="str">
        <f t="shared" si="16"/>
        <v>#REF!</v>
      </c>
      <c r="B103" s="98">
        <f t="shared" si="20"/>
        <v>0</v>
      </c>
      <c r="C103" s="97" t="str">
        <f t="shared" si="17"/>
        <v>#REF!</v>
      </c>
      <c r="D103" s="98" t="str">
        <f t="shared" si="18"/>
        <v>#REF!</v>
      </c>
      <c r="E103" s="98" t="str">
        <f t="shared" si="19"/>
        <v>#REF!</v>
      </c>
      <c r="G103" s="85" t="s">
        <v>116</v>
      </c>
      <c r="H103" s="85" t="s">
        <v>117</v>
      </c>
      <c r="I103" s="42">
        <v>1.0</v>
      </c>
      <c r="J103" s="42"/>
      <c r="K103" s="42"/>
      <c r="L103" s="71" t="s">
        <v>125</v>
      </c>
    </row>
    <row r="104" outlineLevel="2">
      <c r="A104" s="96" t="str">
        <f t="shared" si="16"/>
        <v>#REF!</v>
      </c>
      <c r="B104" s="98">
        <f t="shared" si="20"/>
        <v>1.44</v>
      </c>
      <c r="C104" s="97" t="str">
        <f t="shared" si="17"/>
        <v>#REF!</v>
      </c>
      <c r="D104" s="98" t="str">
        <f t="shared" si="18"/>
        <v>#REF!</v>
      </c>
      <c r="E104" s="98" t="str">
        <f t="shared" si="19"/>
        <v>#REF!</v>
      </c>
      <c r="G104" s="85" t="s">
        <v>126</v>
      </c>
      <c r="H104" s="85" t="s">
        <v>127</v>
      </c>
      <c r="I104" s="42">
        <v>2.0</v>
      </c>
      <c r="J104" s="42"/>
      <c r="K104" s="42"/>
      <c r="L104" s="71"/>
    </row>
    <row r="105" outlineLevel="2">
      <c r="A105" s="96" t="str">
        <f t="shared" si="16"/>
        <v>#REF!</v>
      </c>
      <c r="B105" s="98">
        <f t="shared" si="20"/>
        <v>0</v>
      </c>
      <c r="C105" s="97" t="str">
        <f t="shared" si="17"/>
        <v>#REF!</v>
      </c>
      <c r="D105" s="98" t="str">
        <f t="shared" si="18"/>
        <v>#REF!</v>
      </c>
      <c r="E105" s="98" t="str">
        <f t="shared" si="19"/>
        <v>#REF!</v>
      </c>
      <c r="G105" s="85" t="s">
        <v>126</v>
      </c>
      <c r="H105" s="85" t="s">
        <v>128</v>
      </c>
      <c r="I105" s="42">
        <v>1.0</v>
      </c>
      <c r="J105" s="42"/>
      <c r="K105" s="42"/>
      <c r="L105" s="71" t="s">
        <v>129</v>
      </c>
    </row>
    <row r="106" outlineLevel="2">
      <c r="A106" s="96" t="str">
        <f t="shared" si="16"/>
        <v>#REF!</v>
      </c>
      <c r="B106" s="98">
        <f t="shared" si="20"/>
        <v>0</v>
      </c>
      <c r="C106" s="97" t="str">
        <f t="shared" si="17"/>
        <v>#REF!</v>
      </c>
      <c r="D106" s="98" t="str">
        <f t="shared" si="18"/>
        <v>#REF!</v>
      </c>
      <c r="E106" s="98" t="str">
        <f t="shared" si="19"/>
        <v>#REF!</v>
      </c>
      <c r="G106" s="85" t="s">
        <v>126</v>
      </c>
      <c r="H106" s="85" t="s">
        <v>130</v>
      </c>
      <c r="I106" s="42">
        <v>1.0</v>
      </c>
      <c r="J106" s="42"/>
      <c r="K106" s="42"/>
      <c r="L106" s="71" t="s">
        <v>131</v>
      </c>
    </row>
    <row r="107" outlineLevel="2">
      <c r="A107" s="96" t="str">
        <f t="shared" si="16"/>
        <v>#REF!</v>
      </c>
      <c r="B107" s="98">
        <f t="shared" si="20"/>
        <v>0</v>
      </c>
      <c r="C107" s="97" t="str">
        <f t="shared" si="17"/>
        <v>#REF!</v>
      </c>
      <c r="D107" s="98" t="str">
        <f t="shared" si="18"/>
        <v>#REF!</v>
      </c>
      <c r="E107" s="98" t="str">
        <f t="shared" si="19"/>
        <v>#REF!</v>
      </c>
      <c r="G107" s="85" t="s">
        <v>126</v>
      </c>
      <c r="H107" s="85" t="s">
        <v>132</v>
      </c>
      <c r="I107" s="42">
        <v>1.0</v>
      </c>
      <c r="J107" s="42"/>
      <c r="K107" s="42"/>
      <c r="L107" s="71"/>
    </row>
    <row r="108" outlineLevel="2">
      <c r="A108" s="96" t="str">
        <f t="shared" si="16"/>
        <v>#REF!</v>
      </c>
      <c r="B108" s="98">
        <f t="shared" si="20"/>
        <v>0</v>
      </c>
      <c r="C108" s="97" t="str">
        <f t="shared" si="17"/>
        <v>#REF!</v>
      </c>
      <c r="D108" s="98" t="str">
        <f t="shared" si="18"/>
        <v>#REF!</v>
      </c>
      <c r="E108" s="98" t="str">
        <f t="shared" si="19"/>
        <v>#REF!</v>
      </c>
      <c r="G108" s="85" t="s">
        <v>126</v>
      </c>
      <c r="H108" s="85" t="s">
        <v>133</v>
      </c>
      <c r="I108" s="42">
        <v>1.0</v>
      </c>
      <c r="J108" s="42"/>
      <c r="K108" s="42"/>
      <c r="L108" s="71" t="s">
        <v>134</v>
      </c>
    </row>
    <row r="109" outlineLevel="2">
      <c r="A109" s="96" t="str">
        <f t="shared" si="16"/>
        <v>#REF!</v>
      </c>
      <c r="B109" s="98">
        <f t="shared" si="20"/>
        <v>0</v>
      </c>
      <c r="C109" s="97" t="str">
        <f t="shared" si="17"/>
        <v>#REF!</v>
      </c>
      <c r="D109" s="98" t="str">
        <f t="shared" si="18"/>
        <v>#REF!</v>
      </c>
      <c r="E109" s="98" t="str">
        <f t="shared" si="19"/>
        <v>#REF!</v>
      </c>
      <c r="G109" s="85" t="s">
        <v>116</v>
      </c>
      <c r="H109" s="85" t="s">
        <v>135</v>
      </c>
      <c r="I109" s="42">
        <v>1.0</v>
      </c>
      <c r="J109" s="42"/>
      <c r="K109" s="42"/>
      <c r="L109" s="99" t="s">
        <v>136</v>
      </c>
    </row>
    <row r="110" outlineLevel="2">
      <c r="A110" s="96" t="str">
        <f t="shared" si="16"/>
        <v/>
      </c>
      <c r="B110" s="98">
        <f t="shared" si="20"/>
        <v>1.44</v>
      </c>
      <c r="C110" s="97" t="str">
        <f t="shared" si="17"/>
        <v/>
      </c>
      <c r="D110" s="98" t="str">
        <f t="shared" si="18"/>
        <v/>
      </c>
      <c r="E110" s="98">
        <f t="shared" si="19"/>
        <v>0</v>
      </c>
      <c r="G110" s="100"/>
      <c r="H110" s="100"/>
      <c r="I110" s="42"/>
      <c r="J110" s="42"/>
      <c r="K110" s="42"/>
      <c r="L110" s="71"/>
    </row>
    <row r="111" outlineLevel="2">
      <c r="A111" s="96" t="str">
        <f t="shared" si="16"/>
        <v/>
      </c>
      <c r="B111" s="98">
        <f t="shared" si="20"/>
        <v>0</v>
      </c>
      <c r="C111" s="97" t="str">
        <f t="shared" si="17"/>
        <v/>
      </c>
      <c r="D111" s="98" t="str">
        <f t="shared" si="18"/>
        <v/>
      </c>
      <c r="E111" s="98">
        <f t="shared" si="19"/>
        <v>0</v>
      </c>
      <c r="G111" s="100"/>
      <c r="H111" s="100"/>
      <c r="I111" s="101"/>
      <c r="J111" s="42"/>
      <c r="K111" s="42"/>
      <c r="L111" s="71"/>
    </row>
    <row r="112" outlineLevel="2">
      <c r="A112" s="96" t="str">
        <f t="shared" si="16"/>
        <v/>
      </c>
      <c r="B112" s="98">
        <f t="shared" si="20"/>
        <v>0</v>
      </c>
      <c r="C112" s="97" t="str">
        <f t="shared" si="17"/>
        <v/>
      </c>
      <c r="D112" s="98" t="str">
        <f t="shared" si="18"/>
        <v/>
      </c>
      <c r="E112" s="98">
        <f t="shared" si="19"/>
        <v>0</v>
      </c>
      <c r="G112" s="85"/>
      <c r="H112" s="100"/>
      <c r="I112" s="101"/>
      <c r="J112" s="42"/>
      <c r="K112" s="42"/>
      <c r="L112" s="71"/>
    </row>
    <row r="113" outlineLevel="2">
      <c r="A113" s="96" t="str">
        <f t="shared" si="16"/>
        <v/>
      </c>
      <c r="B113" s="98">
        <f t="shared" si="20"/>
        <v>0</v>
      </c>
      <c r="C113" s="97" t="str">
        <f t="shared" si="17"/>
        <v/>
      </c>
      <c r="D113" s="98" t="str">
        <f t="shared" si="18"/>
        <v/>
      </c>
      <c r="E113" s="98">
        <f t="shared" si="19"/>
        <v>0</v>
      </c>
      <c r="G113" s="85"/>
      <c r="H113" s="85"/>
      <c r="I113" s="42"/>
      <c r="J113" s="42"/>
      <c r="K113" s="42"/>
      <c r="L113" s="71"/>
    </row>
    <row r="114" outlineLevel="2">
      <c r="A114" s="96" t="str">
        <f t="shared" si="16"/>
        <v/>
      </c>
      <c r="B114" s="98">
        <f t="shared" si="20"/>
        <v>0</v>
      </c>
      <c r="C114" s="97" t="str">
        <f t="shared" si="17"/>
        <v/>
      </c>
      <c r="D114" s="98" t="str">
        <f t="shared" si="18"/>
        <v/>
      </c>
      <c r="E114" s="98">
        <f t="shared" si="19"/>
        <v>0</v>
      </c>
      <c r="G114" s="85"/>
      <c r="H114" s="85"/>
      <c r="I114" s="42"/>
      <c r="J114" s="42"/>
      <c r="K114" s="42"/>
      <c r="L114" s="71"/>
    </row>
    <row r="115" outlineLevel="2">
      <c r="A115" s="96" t="str">
        <f t="shared" si="16"/>
        <v/>
      </c>
      <c r="B115" s="98">
        <f t="shared" si="20"/>
        <v>0</v>
      </c>
      <c r="C115" s="97" t="str">
        <f t="shared" si="17"/>
        <v/>
      </c>
      <c r="D115" s="98" t="str">
        <f t="shared" si="18"/>
        <v/>
      </c>
      <c r="E115" s="98">
        <f t="shared" si="19"/>
        <v>0</v>
      </c>
      <c r="G115" s="85"/>
      <c r="H115" s="85"/>
      <c r="I115" s="42"/>
      <c r="J115" s="42"/>
      <c r="K115" s="42"/>
      <c r="L115" s="71"/>
    </row>
    <row r="116" outlineLevel="2">
      <c r="A116" s="96" t="str">
        <f t="shared" si="16"/>
        <v/>
      </c>
      <c r="B116" s="98">
        <f t="shared" si="20"/>
        <v>0</v>
      </c>
      <c r="C116" s="97" t="str">
        <f t="shared" si="17"/>
        <v/>
      </c>
      <c r="D116" s="98" t="str">
        <f t="shared" si="18"/>
        <v/>
      </c>
      <c r="E116" s="98">
        <f t="shared" si="19"/>
        <v>0</v>
      </c>
      <c r="G116" s="85"/>
      <c r="H116" s="85"/>
      <c r="I116" s="42"/>
      <c r="J116" s="42"/>
      <c r="K116" s="42"/>
      <c r="L116" s="102"/>
    </row>
    <row r="117" outlineLevel="2">
      <c r="A117" s="96" t="str">
        <f t="shared" si="16"/>
        <v/>
      </c>
      <c r="B117" s="98">
        <f t="shared" si="20"/>
        <v>0</v>
      </c>
      <c r="C117" s="97" t="str">
        <f t="shared" si="17"/>
        <v/>
      </c>
      <c r="D117" s="98" t="str">
        <f t="shared" si="18"/>
        <v/>
      </c>
      <c r="E117" s="98">
        <f t="shared" si="19"/>
        <v>0</v>
      </c>
      <c r="G117" s="85"/>
      <c r="H117" s="85"/>
      <c r="I117" s="42"/>
      <c r="J117" s="42"/>
      <c r="K117" s="42"/>
      <c r="L117" s="71"/>
    </row>
    <row r="118" outlineLevel="2">
      <c r="A118" s="96" t="str">
        <f t="shared" si="16"/>
        <v/>
      </c>
      <c r="B118" s="98">
        <f t="shared" si="20"/>
        <v>0</v>
      </c>
      <c r="C118" s="97" t="str">
        <f t="shared" si="17"/>
        <v/>
      </c>
      <c r="D118" s="98" t="str">
        <f t="shared" si="18"/>
        <v/>
      </c>
      <c r="E118" s="98">
        <f t="shared" si="19"/>
        <v>0</v>
      </c>
      <c r="G118" s="85"/>
      <c r="H118" s="85"/>
      <c r="I118" s="42"/>
      <c r="J118" s="42"/>
      <c r="K118" s="42"/>
      <c r="L118" s="71"/>
    </row>
    <row r="119" outlineLevel="2">
      <c r="A119" s="96" t="str">
        <f t="shared" si="16"/>
        <v/>
      </c>
      <c r="B119" s="98">
        <f t="shared" si="20"/>
        <v>0</v>
      </c>
      <c r="C119" s="97" t="str">
        <f t="shared" si="17"/>
        <v/>
      </c>
      <c r="D119" s="98" t="str">
        <f t="shared" si="18"/>
        <v/>
      </c>
      <c r="E119" s="98">
        <f t="shared" si="19"/>
        <v>0</v>
      </c>
      <c r="G119" s="85"/>
      <c r="H119" s="85"/>
      <c r="I119" s="42"/>
      <c r="J119" s="42"/>
      <c r="K119" s="42"/>
      <c r="L119" s="71"/>
    </row>
    <row r="120" outlineLevel="2">
      <c r="A120" s="96" t="str">
        <f t="shared" si="16"/>
        <v/>
      </c>
      <c r="B120" s="98">
        <f t="shared" si="20"/>
        <v>0</v>
      </c>
      <c r="C120" s="97" t="str">
        <f t="shared" si="17"/>
        <v/>
      </c>
      <c r="D120" s="98" t="str">
        <f t="shared" si="18"/>
        <v/>
      </c>
      <c r="E120" s="98">
        <f t="shared" si="19"/>
        <v>0</v>
      </c>
      <c r="G120" s="85"/>
      <c r="H120" s="85"/>
      <c r="I120" s="42"/>
      <c r="J120" s="42"/>
      <c r="K120" s="42"/>
      <c r="L120" s="71"/>
    </row>
    <row r="121" outlineLevel="2">
      <c r="A121" s="96" t="str">
        <f t="shared" si="16"/>
        <v/>
      </c>
      <c r="B121" s="98">
        <f t="shared" si="20"/>
        <v>0</v>
      </c>
      <c r="C121" s="97" t="str">
        <f t="shared" si="17"/>
        <v/>
      </c>
      <c r="D121" s="98" t="str">
        <f t="shared" si="18"/>
        <v/>
      </c>
      <c r="E121" s="98">
        <f t="shared" si="19"/>
        <v>0</v>
      </c>
      <c r="G121" s="85"/>
      <c r="H121" s="85"/>
      <c r="I121" s="42"/>
      <c r="J121" s="42"/>
      <c r="K121" s="42"/>
      <c r="L121" s="102"/>
    </row>
    <row r="122" outlineLevel="2">
      <c r="A122" s="96" t="str">
        <f t="shared" si="16"/>
        <v/>
      </c>
      <c r="B122" s="98">
        <f t="shared" si="20"/>
        <v>0</v>
      </c>
      <c r="C122" s="97" t="str">
        <f t="shared" si="17"/>
        <v/>
      </c>
      <c r="D122" s="98" t="str">
        <f t="shared" si="18"/>
        <v/>
      </c>
      <c r="E122" s="98">
        <f t="shared" si="19"/>
        <v>0</v>
      </c>
      <c r="G122" s="85"/>
      <c r="H122" s="85"/>
      <c r="I122" s="42"/>
      <c r="J122" s="42"/>
      <c r="K122" s="42"/>
      <c r="L122" s="102"/>
    </row>
    <row r="123" outlineLevel="2">
      <c r="A123" s="96" t="str">
        <f t="shared" si="16"/>
        <v/>
      </c>
      <c r="B123" s="98">
        <f t="shared" si="20"/>
        <v>0</v>
      </c>
      <c r="C123" s="97" t="str">
        <f t="shared" si="17"/>
        <v/>
      </c>
      <c r="D123" s="98" t="str">
        <f t="shared" si="18"/>
        <v/>
      </c>
      <c r="E123" s="98">
        <f t="shared" si="19"/>
        <v>0</v>
      </c>
      <c r="G123" s="85"/>
      <c r="H123" s="85"/>
      <c r="I123" s="42"/>
      <c r="J123" s="42"/>
      <c r="K123" s="42"/>
      <c r="L123" s="71"/>
    </row>
    <row r="124" outlineLevel="2">
      <c r="A124" s="96" t="str">
        <f t="shared" si="16"/>
        <v/>
      </c>
      <c r="B124" s="98">
        <f t="shared" si="20"/>
        <v>0</v>
      </c>
      <c r="C124" s="97" t="str">
        <f t="shared" si="17"/>
        <v/>
      </c>
      <c r="D124" s="98" t="str">
        <f t="shared" si="18"/>
        <v/>
      </c>
      <c r="E124" s="98">
        <f t="shared" si="19"/>
        <v>0</v>
      </c>
      <c r="G124" s="85"/>
      <c r="H124" s="85"/>
      <c r="I124" s="42"/>
      <c r="J124" s="42"/>
      <c r="K124" s="42"/>
      <c r="L124" s="102"/>
    </row>
    <row r="125" outlineLevel="2">
      <c r="A125" s="96" t="str">
        <f t="shared" si="16"/>
        <v/>
      </c>
      <c r="B125" s="98">
        <f t="shared" si="20"/>
        <v>0</v>
      </c>
      <c r="C125" s="97" t="str">
        <f t="shared" si="17"/>
        <v/>
      </c>
      <c r="D125" s="98" t="str">
        <f t="shared" si="18"/>
        <v/>
      </c>
      <c r="E125" s="98">
        <f t="shared" si="19"/>
        <v>0</v>
      </c>
      <c r="G125" s="85"/>
      <c r="H125" s="85"/>
      <c r="I125" s="42"/>
      <c r="J125" s="42"/>
      <c r="K125" s="42"/>
      <c r="L125" s="71"/>
    </row>
    <row r="126" outlineLevel="2">
      <c r="A126" s="96" t="str">
        <f t="shared" si="16"/>
        <v/>
      </c>
      <c r="B126" s="98">
        <f t="shared" si="20"/>
        <v>0</v>
      </c>
      <c r="C126" s="97" t="str">
        <f t="shared" si="17"/>
        <v/>
      </c>
      <c r="D126" s="98" t="str">
        <f t="shared" si="18"/>
        <v/>
      </c>
      <c r="E126" s="98">
        <f t="shared" si="19"/>
        <v>0</v>
      </c>
      <c r="G126" s="85"/>
      <c r="H126" s="85"/>
      <c r="I126" s="42"/>
      <c r="J126" s="42"/>
      <c r="K126" s="42"/>
      <c r="L126" s="71"/>
    </row>
    <row r="127" outlineLevel="2">
      <c r="A127" s="96" t="str">
        <f t="shared" si="16"/>
        <v/>
      </c>
      <c r="B127" s="98">
        <f t="shared" si="20"/>
        <v>0</v>
      </c>
      <c r="C127" s="97" t="str">
        <f t="shared" si="17"/>
        <v/>
      </c>
      <c r="D127" s="98" t="str">
        <f t="shared" si="18"/>
        <v/>
      </c>
      <c r="E127" s="98">
        <f t="shared" si="19"/>
        <v>0</v>
      </c>
      <c r="G127" s="85"/>
      <c r="H127" s="85"/>
      <c r="I127" s="42"/>
      <c r="J127" s="42"/>
      <c r="K127" s="42"/>
      <c r="L127" s="71"/>
    </row>
    <row r="128" outlineLevel="2">
      <c r="A128" s="96" t="str">
        <f t="shared" si="16"/>
        <v/>
      </c>
      <c r="B128" s="98">
        <f t="shared" si="20"/>
        <v>0</v>
      </c>
      <c r="C128" s="97" t="str">
        <f t="shared" si="17"/>
        <v/>
      </c>
      <c r="D128" s="98" t="str">
        <f t="shared" si="18"/>
        <v/>
      </c>
      <c r="E128" s="98">
        <f t="shared" si="19"/>
        <v>0</v>
      </c>
      <c r="G128" s="85"/>
      <c r="H128" s="85"/>
      <c r="I128" s="42"/>
      <c r="J128" s="42"/>
      <c r="K128" s="42"/>
      <c r="L128" s="71"/>
    </row>
    <row r="129" outlineLevel="2">
      <c r="A129" s="96" t="str">
        <f t="shared" si="16"/>
        <v/>
      </c>
      <c r="B129" s="98">
        <f t="shared" si="20"/>
        <v>0</v>
      </c>
      <c r="C129" s="97" t="str">
        <f t="shared" si="17"/>
        <v/>
      </c>
      <c r="D129" s="98" t="str">
        <f t="shared" si="18"/>
        <v/>
      </c>
      <c r="E129" s="98">
        <f t="shared" si="19"/>
        <v>0</v>
      </c>
      <c r="G129" s="85"/>
      <c r="H129" s="85"/>
      <c r="I129" s="42"/>
      <c r="J129" s="42"/>
      <c r="K129" s="42"/>
      <c r="L129" s="71"/>
    </row>
    <row r="130" outlineLevel="2">
      <c r="A130" s="96" t="str">
        <f t="shared" si="16"/>
        <v/>
      </c>
      <c r="B130" s="98">
        <f t="shared" si="20"/>
        <v>0</v>
      </c>
      <c r="C130" s="97" t="str">
        <f t="shared" si="17"/>
        <v/>
      </c>
      <c r="D130" s="98" t="str">
        <f t="shared" si="18"/>
        <v/>
      </c>
      <c r="E130" s="98">
        <f t="shared" si="19"/>
        <v>0</v>
      </c>
      <c r="G130" s="85"/>
      <c r="H130" s="85"/>
      <c r="I130" s="42"/>
      <c r="J130" s="42"/>
      <c r="K130" s="42"/>
      <c r="L130" s="102"/>
    </row>
    <row r="131" outlineLevel="2">
      <c r="A131" s="96" t="str">
        <f t="shared" si="16"/>
        <v/>
      </c>
      <c r="B131" s="98">
        <f t="shared" si="20"/>
        <v>0</v>
      </c>
      <c r="C131" s="97" t="str">
        <f t="shared" si="17"/>
        <v/>
      </c>
      <c r="D131" s="98" t="str">
        <f t="shared" si="18"/>
        <v/>
      </c>
      <c r="E131" s="98">
        <f t="shared" si="19"/>
        <v>0</v>
      </c>
      <c r="G131" s="85"/>
      <c r="H131" s="85"/>
      <c r="I131" s="42"/>
      <c r="J131" s="42"/>
      <c r="K131" s="42"/>
      <c r="L131" s="71"/>
    </row>
    <row r="132" outlineLevel="2">
      <c r="A132" s="96" t="str">
        <f t="shared" si="16"/>
        <v/>
      </c>
      <c r="B132" s="98">
        <f t="shared" si="20"/>
        <v>0</v>
      </c>
      <c r="C132" s="97" t="str">
        <f t="shared" si="17"/>
        <v/>
      </c>
      <c r="D132" s="98" t="str">
        <f t="shared" si="18"/>
        <v/>
      </c>
      <c r="E132" s="98">
        <f t="shared" si="19"/>
        <v>0</v>
      </c>
      <c r="G132" s="85"/>
      <c r="H132" s="85"/>
      <c r="I132" s="42"/>
      <c r="J132" s="42"/>
      <c r="K132" s="42"/>
      <c r="L132" s="102"/>
    </row>
    <row r="133" outlineLevel="2">
      <c r="A133" s="96" t="str">
        <f t="shared" si="16"/>
        <v/>
      </c>
      <c r="B133" s="98">
        <f t="shared" si="20"/>
        <v>0</v>
      </c>
      <c r="C133" s="97" t="str">
        <f t="shared" si="17"/>
        <v/>
      </c>
      <c r="D133" s="98" t="str">
        <f t="shared" si="18"/>
        <v/>
      </c>
      <c r="E133" s="98">
        <f t="shared" si="19"/>
        <v>0</v>
      </c>
      <c r="G133" s="85"/>
      <c r="H133" s="85"/>
      <c r="I133" s="42"/>
      <c r="J133" s="42"/>
      <c r="K133" s="42"/>
      <c r="L133" s="102"/>
    </row>
    <row r="134" outlineLevel="2">
      <c r="A134" s="96" t="str">
        <f t="shared" si="16"/>
        <v/>
      </c>
      <c r="B134" s="98">
        <f t="shared" si="20"/>
        <v>0</v>
      </c>
      <c r="C134" s="97" t="str">
        <f t="shared" si="17"/>
        <v/>
      </c>
      <c r="D134" s="98" t="str">
        <f t="shared" si="18"/>
        <v/>
      </c>
      <c r="E134" s="98">
        <f t="shared" si="19"/>
        <v>0</v>
      </c>
      <c r="G134" s="100"/>
      <c r="H134" s="100"/>
      <c r="I134" s="42"/>
      <c r="J134" s="42"/>
      <c r="K134" s="42"/>
      <c r="L134" s="71"/>
    </row>
    <row r="135" outlineLevel="2">
      <c r="A135" s="96" t="str">
        <f t="shared" si="16"/>
        <v/>
      </c>
      <c r="B135" s="98">
        <f t="shared" si="20"/>
        <v>0</v>
      </c>
      <c r="C135" s="97" t="str">
        <f t="shared" si="17"/>
        <v/>
      </c>
      <c r="D135" s="98" t="str">
        <f t="shared" si="18"/>
        <v/>
      </c>
      <c r="E135" s="98">
        <f t="shared" si="19"/>
        <v>0</v>
      </c>
      <c r="G135" s="100"/>
      <c r="H135" s="100"/>
      <c r="I135" s="101"/>
      <c r="J135" s="42"/>
      <c r="K135" s="42"/>
      <c r="L135" s="71"/>
    </row>
    <row r="136" outlineLevel="2">
      <c r="A136" s="96" t="str">
        <f t="shared" si="16"/>
        <v/>
      </c>
      <c r="B136" s="98">
        <f t="shared" si="20"/>
        <v>0</v>
      </c>
      <c r="C136" s="97" t="str">
        <f t="shared" si="17"/>
        <v/>
      </c>
      <c r="D136" s="98" t="str">
        <f t="shared" si="18"/>
        <v/>
      </c>
      <c r="E136" s="98">
        <f t="shared" si="19"/>
        <v>0</v>
      </c>
      <c r="G136" s="85"/>
      <c r="H136" s="100"/>
      <c r="I136" s="101"/>
      <c r="J136" s="42"/>
      <c r="K136" s="42"/>
      <c r="L136" s="71"/>
    </row>
    <row r="137" outlineLevel="2">
      <c r="A137" s="96" t="str">
        <f t="shared" si="16"/>
        <v/>
      </c>
      <c r="B137" s="98">
        <f t="shared" si="20"/>
        <v>0</v>
      </c>
      <c r="C137" s="97" t="str">
        <f t="shared" si="17"/>
        <v/>
      </c>
      <c r="D137" s="98" t="str">
        <f t="shared" si="18"/>
        <v/>
      </c>
      <c r="E137" s="98">
        <f t="shared" si="19"/>
        <v>0</v>
      </c>
      <c r="G137" s="85"/>
      <c r="H137" s="85"/>
      <c r="I137" s="42"/>
      <c r="J137" s="42"/>
      <c r="K137" s="42"/>
      <c r="L137" s="71"/>
    </row>
    <row r="138" outlineLevel="2">
      <c r="A138" s="96" t="str">
        <f t="shared" si="16"/>
        <v/>
      </c>
      <c r="B138" s="98">
        <f t="shared" si="20"/>
        <v>0</v>
      </c>
      <c r="C138" s="97" t="str">
        <f t="shared" si="17"/>
        <v/>
      </c>
      <c r="D138" s="98" t="str">
        <f t="shared" si="18"/>
        <v/>
      </c>
      <c r="E138" s="98">
        <f t="shared" si="19"/>
        <v>0</v>
      </c>
      <c r="G138" s="85"/>
      <c r="H138" s="85"/>
      <c r="I138" s="42"/>
      <c r="J138" s="42"/>
      <c r="K138" s="42"/>
      <c r="L138" s="71"/>
    </row>
    <row r="139" outlineLevel="2">
      <c r="A139" s="96" t="str">
        <f t="shared" si="16"/>
        <v/>
      </c>
      <c r="B139" s="98">
        <f t="shared" si="20"/>
        <v>0</v>
      </c>
      <c r="C139" s="97" t="str">
        <f t="shared" si="17"/>
        <v/>
      </c>
      <c r="D139" s="98" t="str">
        <f t="shared" si="18"/>
        <v/>
      </c>
      <c r="E139" s="98">
        <f t="shared" si="19"/>
        <v>0</v>
      </c>
      <c r="G139" s="85"/>
      <c r="H139" s="85"/>
      <c r="I139" s="42"/>
      <c r="J139" s="42"/>
      <c r="K139" s="42"/>
      <c r="L139" s="71"/>
    </row>
    <row r="140" outlineLevel="2">
      <c r="A140" s="96" t="str">
        <f t="shared" si="16"/>
        <v/>
      </c>
      <c r="B140" s="98">
        <f t="shared" si="20"/>
        <v>0</v>
      </c>
      <c r="C140" s="97" t="str">
        <f t="shared" si="17"/>
        <v/>
      </c>
      <c r="D140" s="98" t="str">
        <f t="shared" si="18"/>
        <v/>
      </c>
      <c r="E140" s="98">
        <f t="shared" si="19"/>
        <v>0</v>
      </c>
      <c r="G140" s="85"/>
      <c r="H140" s="85"/>
      <c r="I140" s="42"/>
      <c r="J140" s="42"/>
      <c r="K140" s="42"/>
      <c r="L140" s="102"/>
    </row>
    <row r="141" outlineLevel="2">
      <c r="A141" s="96" t="str">
        <f t="shared" si="16"/>
        <v/>
      </c>
      <c r="B141" s="98">
        <f t="shared" si="20"/>
        <v>0</v>
      </c>
      <c r="C141" s="97" t="str">
        <f t="shared" si="17"/>
        <v/>
      </c>
      <c r="D141" s="98" t="str">
        <f t="shared" si="18"/>
        <v/>
      </c>
      <c r="E141" s="98">
        <f t="shared" si="19"/>
        <v>0</v>
      </c>
      <c r="G141" s="85"/>
      <c r="H141" s="85"/>
      <c r="I141" s="42"/>
      <c r="J141" s="42"/>
      <c r="K141" s="42"/>
      <c r="L141" s="71"/>
    </row>
    <row r="142" outlineLevel="2">
      <c r="A142" s="96" t="str">
        <f t="shared" si="16"/>
        <v/>
      </c>
      <c r="B142" s="98">
        <f t="shared" si="20"/>
        <v>0</v>
      </c>
      <c r="C142" s="97" t="str">
        <f t="shared" si="17"/>
        <v/>
      </c>
      <c r="D142" s="98" t="str">
        <f t="shared" si="18"/>
        <v/>
      </c>
      <c r="E142" s="98">
        <f t="shared" si="19"/>
        <v>0</v>
      </c>
      <c r="G142" s="85"/>
      <c r="H142" s="85"/>
      <c r="I142" s="42"/>
      <c r="J142" s="42"/>
      <c r="K142" s="42"/>
      <c r="L142" s="71"/>
    </row>
    <row r="143" outlineLevel="2">
      <c r="A143" s="96" t="str">
        <f t="shared" si="16"/>
        <v/>
      </c>
      <c r="B143" s="98">
        <f t="shared" si="20"/>
        <v>0</v>
      </c>
      <c r="C143" s="97" t="str">
        <f t="shared" si="17"/>
        <v/>
      </c>
      <c r="D143" s="98" t="str">
        <f t="shared" si="18"/>
        <v/>
      </c>
      <c r="E143" s="98">
        <f t="shared" si="19"/>
        <v>0</v>
      </c>
      <c r="G143" s="85"/>
      <c r="H143" s="85"/>
      <c r="I143" s="42"/>
      <c r="J143" s="42"/>
      <c r="K143" s="42"/>
      <c r="L143" s="71"/>
    </row>
    <row r="144" outlineLevel="2">
      <c r="A144" s="96" t="str">
        <f t="shared" si="16"/>
        <v/>
      </c>
      <c r="B144" s="98">
        <f t="shared" si="20"/>
        <v>0</v>
      </c>
      <c r="C144" s="97" t="str">
        <f t="shared" si="17"/>
        <v/>
      </c>
      <c r="D144" s="98" t="str">
        <f t="shared" si="18"/>
        <v/>
      </c>
      <c r="E144" s="98">
        <f t="shared" si="19"/>
        <v>0</v>
      </c>
      <c r="G144" s="85"/>
      <c r="H144" s="85"/>
      <c r="I144" s="42"/>
      <c r="J144" s="42"/>
      <c r="K144" s="42"/>
      <c r="L144" s="71"/>
    </row>
    <row r="145" outlineLevel="2">
      <c r="A145" s="96" t="str">
        <f t="shared" si="16"/>
        <v/>
      </c>
      <c r="B145" s="98">
        <f t="shared" si="20"/>
        <v>0</v>
      </c>
      <c r="C145" s="97" t="str">
        <f t="shared" si="17"/>
        <v/>
      </c>
      <c r="D145" s="98" t="str">
        <f t="shared" si="18"/>
        <v/>
      </c>
      <c r="E145" s="98">
        <f t="shared" si="19"/>
        <v>0</v>
      </c>
      <c r="G145" s="85"/>
      <c r="H145" s="85"/>
      <c r="I145" s="42"/>
      <c r="J145" s="42"/>
      <c r="K145" s="42"/>
      <c r="L145" s="102"/>
    </row>
    <row r="146" outlineLevel="2">
      <c r="A146" s="96" t="str">
        <f t="shared" si="16"/>
        <v/>
      </c>
      <c r="B146" s="98">
        <f t="shared" si="20"/>
        <v>0</v>
      </c>
      <c r="C146" s="97" t="str">
        <f t="shared" si="17"/>
        <v/>
      </c>
      <c r="D146" s="98" t="str">
        <f t="shared" si="18"/>
        <v/>
      </c>
      <c r="E146" s="98">
        <f t="shared" si="19"/>
        <v>0</v>
      </c>
      <c r="G146" s="85"/>
      <c r="H146" s="85"/>
      <c r="I146" s="42"/>
      <c r="J146" s="42"/>
      <c r="K146" s="42"/>
      <c r="L146" s="102"/>
    </row>
    <row r="147" outlineLevel="2">
      <c r="A147" s="96" t="str">
        <f t="shared" si="16"/>
        <v/>
      </c>
      <c r="B147" s="98">
        <f t="shared" si="20"/>
        <v>0</v>
      </c>
      <c r="C147" s="97" t="str">
        <f t="shared" si="17"/>
        <v/>
      </c>
      <c r="D147" s="98" t="str">
        <f t="shared" si="18"/>
        <v/>
      </c>
      <c r="E147" s="98">
        <f t="shared" si="19"/>
        <v>0</v>
      </c>
      <c r="G147" s="85"/>
      <c r="H147" s="85"/>
      <c r="I147" s="42"/>
      <c r="J147" s="42"/>
      <c r="K147" s="42"/>
      <c r="L147" s="71"/>
    </row>
    <row r="148" outlineLevel="2">
      <c r="A148" s="39"/>
      <c r="B148" s="39"/>
      <c r="C148" s="39"/>
      <c r="D148" s="39"/>
      <c r="E148" s="39"/>
      <c r="F148" s="39" t="s">
        <v>137</v>
      </c>
      <c r="G148" s="51" t="str">
        <f>if(G96=TRUE,0,if(G95=FALSE,(SUM(B98:B147)+SUM(E98:E147)),999999))</f>
        <v>#REF!</v>
      </c>
      <c r="H148" s="76" t="s">
        <v>138</v>
      </c>
      <c r="L148" s="71"/>
    </row>
    <row r="149" outlineLevel="2">
      <c r="A149" s="39"/>
      <c r="B149" s="39"/>
      <c r="C149" s="39"/>
      <c r="D149" s="39"/>
      <c r="E149" s="39"/>
      <c r="F149" s="39"/>
    </row>
    <row r="150" outlineLevel="1">
      <c r="A150" s="39"/>
      <c r="B150" s="39"/>
      <c r="C150" s="39"/>
      <c r="D150" s="39"/>
      <c r="E150" s="39"/>
      <c r="F150" s="39">
        <v>9.2</v>
      </c>
      <c r="G150" s="52" t="str">
        <f>if(G4="","TBD",hlookup(G4,'Scored Components + Weights'!1:17,6,FALSE))</f>
        <v>#REF!</v>
      </c>
      <c r="H150" s="53"/>
      <c r="I150" s="53"/>
      <c r="J150" s="53"/>
      <c r="K150" s="54"/>
      <c r="L150" s="71" t="s">
        <v>139</v>
      </c>
    </row>
    <row r="151" outlineLevel="2">
      <c r="A151" s="93"/>
      <c r="B151" s="94"/>
      <c r="C151" s="93"/>
      <c r="D151" s="93"/>
      <c r="E151" s="93"/>
      <c r="F151" s="39"/>
      <c r="G151" s="87" t="b">
        <v>0</v>
      </c>
      <c r="H151" s="87" t="s">
        <v>103</v>
      </c>
      <c r="L151" s="71" t="s">
        <v>140</v>
      </c>
    </row>
    <row r="152" outlineLevel="2">
      <c r="A152" s="93"/>
      <c r="B152" s="94"/>
      <c r="C152" s="93"/>
      <c r="D152" s="93"/>
      <c r="E152" s="93"/>
      <c r="F152" s="39"/>
      <c r="G152" s="87" t="b">
        <v>0</v>
      </c>
      <c r="H152" s="87" t="s">
        <v>105</v>
      </c>
      <c r="L152" s="71" t="s">
        <v>141</v>
      </c>
    </row>
    <row r="153" outlineLevel="2">
      <c r="A153" s="93" t="s">
        <v>74</v>
      </c>
      <c r="B153" s="94" t="s">
        <v>107</v>
      </c>
      <c r="C153" s="93" t="s">
        <v>108</v>
      </c>
      <c r="D153" s="93" t="s">
        <v>109</v>
      </c>
      <c r="E153" s="93" t="s">
        <v>110</v>
      </c>
      <c r="F153" s="39">
        <v>9.3</v>
      </c>
      <c r="G153" s="87" t="s">
        <v>111</v>
      </c>
      <c r="H153" s="87" t="s">
        <v>112</v>
      </c>
      <c r="I153" s="86" t="s">
        <v>113</v>
      </c>
      <c r="J153" s="95" t="s">
        <v>114</v>
      </c>
      <c r="K153" s="95" t="s">
        <v>115</v>
      </c>
      <c r="L153" s="71"/>
    </row>
    <row r="154" outlineLevel="2">
      <c r="A154" s="96" t="str">
        <f t="shared" ref="A154:A203" si="21">if(G154="","",vlookup(G154,Tools!$A$8:$E$177,5,FALSE))</f>
        <v>#REF!</v>
      </c>
      <c r="B154" s="94" t="s">
        <v>41</v>
      </c>
      <c r="C154" s="97" t="str">
        <f t="shared" ref="C154:C203" si="22">if(H154="","",vlookup(H154,'Actions + Proxy Times'!$A$3:$E$118,5,FALSE)*I154)</f>
        <v>#REF!</v>
      </c>
      <c r="D154" s="98" t="str">
        <f t="shared" ref="D154:D203" si="23">if(C154&gt;0,"",sum(J154:K154)*I154)</f>
        <v>#REF!</v>
      </c>
      <c r="E154" s="98" t="str">
        <f t="shared" ref="E154:E203" si="24">if(C154&gt;0,C154*A154,D154*A154)</f>
        <v>#REF!</v>
      </c>
      <c r="F154" s="39">
        <v>9.4</v>
      </c>
      <c r="G154" s="85" t="s">
        <v>116</v>
      </c>
      <c r="H154" s="85" t="s">
        <v>117</v>
      </c>
      <c r="I154" s="42">
        <v>1.0</v>
      </c>
      <c r="J154" s="42"/>
      <c r="K154" s="42"/>
      <c r="L154" s="71" t="s">
        <v>118</v>
      </c>
    </row>
    <row r="155" outlineLevel="2">
      <c r="A155" s="96" t="str">
        <f t="shared" si="21"/>
        <v>#REF!</v>
      </c>
      <c r="B155" s="98">
        <f t="shared" ref="B155:B203" si="25">if(G155="hand",0,if(G155=G154,0,1.44))</f>
        <v>1.44</v>
      </c>
      <c r="C155" s="97" t="str">
        <f t="shared" si="22"/>
        <v>#REF!</v>
      </c>
      <c r="D155" s="98" t="str">
        <f t="shared" si="23"/>
        <v>#REF!</v>
      </c>
      <c r="E155" s="98" t="str">
        <f t="shared" si="24"/>
        <v>#REF!</v>
      </c>
      <c r="G155" s="85" t="s">
        <v>119</v>
      </c>
      <c r="H155" s="85" t="s">
        <v>120</v>
      </c>
      <c r="I155" s="42">
        <v>4.0</v>
      </c>
      <c r="J155" s="42"/>
      <c r="K155" s="42"/>
      <c r="L155" s="71"/>
    </row>
    <row r="156" outlineLevel="2">
      <c r="A156" s="96" t="str">
        <f t="shared" si="21"/>
        <v>#REF!</v>
      </c>
      <c r="B156" s="98">
        <f t="shared" si="25"/>
        <v>0</v>
      </c>
      <c r="C156" s="97" t="str">
        <f t="shared" si="22"/>
        <v>#REF!</v>
      </c>
      <c r="D156" s="98" t="str">
        <f t="shared" si="23"/>
        <v>#REF!</v>
      </c>
      <c r="E156" s="98" t="str">
        <f t="shared" si="24"/>
        <v>#REF!</v>
      </c>
      <c r="G156" s="85" t="s">
        <v>116</v>
      </c>
      <c r="H156" s="85" t="s">
        <v>117</v>
      </c>
      <c r="I156" s="42">
        <v>1.0</v>
      </c>
      <c r="J156" s="42"/>
      <c r="K156" s="42"/>
      <c r="L156" s="71" t="s">
        <v>121</v>
      </c>
    </row>
    <row r="157" outlineLevel="2">
      <c r="A157" s="96" t="str">
        <f t="shared" si="21"/>
        <v>#REF!</v>
      </c>
      <c r="B157" s="98">
        <f t="shared" si="25"/>
        <v>1.44</v>
      </c>
      <c r="C157" s="97" t="str">
        <f t="shared" si="22"/>
        <v>#REF!</v>
      </c>
      <c r="D157" s="98" t="str">
        <f t="shared" si="23"/>
        <v>#REF!</v>
      </c>
      <c r="E157" s="98" t="str">
        <f t="shared" si="24"/>
        <v>#REF!</v>
      </c>
      <c r="G157" s="85" t="s">
        <v>122</v>
      </c>
      <c r="H157" s="85" t="s">
        <v>123</v>
      </c>
      <c r="I157" s="42">
        <v>16.0</v>
      </c>
      <c r="J157" s="42"/>
      <c r="K157" s="42"/>
      <c r="L157" s="71"/>
    </row>
    <row r="158" outlineLevel="2">
      <c r="A158" s="96" t="str">
        <f t="shared" si="21"/>
        <v>#REF!</v>
      </c>
      <c r="B158" s="98">
        <f t="shared" si="25"/>
        <v>0</v>
      </c>
      <c r="C158" s="97" t="str">
        <f t="shared" si="22"/>
        <v>#REF!</v>
      </c>
      <c r="D158" s="98" t="str">
        <f t="shared" si="23"/>
        <v>#REF!</v>
      </c>
      <c r="E158" s="98" t="str">
        <f t="shared" si="24"/>
        <v>#REF!</v>
      </c>
      <c r="G158" s="85" t="s">
        <v>116</v>
      </c>
      <c r="H158" s="85" t="s">
        <v>117</v>
      </c>
      <c r="I158" s="42">
        <v>1.0</v>
      </c>
      <c r="J158" s="42"/>
      <c r="K158" s="42"/>
      <c r="L158" s="71" t="s">
        <v>124</v>
      </c>
    </row>
    <row r="159" outlineLevel="2">
      <c r="A159" s="96" t="str">
        <f t="shared" si="21"/>
        <v>#REF!</v>
      </c>
      <c r="B159" s="98">
        <f t="shared" si="25"/>
        <v>0</v>
      </c>
      <c r="C159" s="97" t="str">
        <f t="shared" si="22"/>
        <v>#REF!</v>
      </c>
      <c r="D159" s="98" t="str">
        <f t="shared" si="23"/>
        <v>#REF!</v>
      </c>
      <c r="E159" s="98" t="str">
        <f t="shared" si="24"/>
        <v>#REF!</v>
      </c>
      <c r="G159" s="85" t="s">
        <v>116</v>
      </c>
      <c r="H159" s="85" t="s">
        <v>117</v>
      </c>
      <c r="I159" s="42">
        <v>1.0</v>
      </c>
      <c r="J159" s="42"/>
      <c r="K159" s="42"/>
      <c r="L159" s="71" t="s">
        <v>125</v>
      </c>
    </row>
    <row r="160" outlineLevel="2">
      <c r="A160" s="96" t="str">
        <f t="shared" si="21"/>
        <v>#REF!</v>
      </c>
      <c r="B160" s="98">
        <f t="shared" si="25"/>
        <v>1.44</v>
      </c>
      <c r="C160" s="97" t="str">
        <f t="shared" si="22"/>
        <v>#REF!</v>
      </c>
      <c r="D160" s="98" t="str">
        <f t="shared" si="23"/>
        <v>#REF!</v>
      </c>
      <c r="E160" s="98" t="str">
        <f t="shared" si="24"/>
        <v>#REF!</v>
      </c>
      <c r="G160" s="85" t="s">
        <v>126</v>
      </c>
      <c r="H160" s="85" t="s">
        <v>127</v>
      </c>
      <c r="I160" s="42">
        <v>2.0</v>
      </c>
      <c r="J160" s="42"/>
      <c r="K160" s="42"/>
      <c r="L160" s="71"/>
    </row>
    <row r="161" outlineLevel="2">
      <c r="A161" s="96" t="str">
        <f t="shared" si="21"/>
        <v>#REF!</v>
      </c>
      <c r="B161" s="98">
        <f t="shared" si="25"/>
        <v>0</v>
      </c>
      <c r="C161" s="97" t="str">
        <f t="shared" si="22"/>
        <v>#REF!</v>
      </c>
      <c r="D161" s="98" t="str">
        <f t="shared" si="23"/>
        <v>#REF!</v>
      </c>
      <c r="E161" s="98" t="str">
        <f t="shared" si="24"/>
        <v>#REF!</v>
      </c>
      <c r="G161" s="85" t="s">
        <v>126</v>
      </c>
      <c r="H161" s="85" t="s">
        <v>128</v>
      </c>
      <c r="I161" s="42">
        <v>1.0</v>
      </c>
      <c r="J161" s="42"/>
      <c r="K161" s="42"/>
      <c r="L161" s="71" t="s">
        <v>129</v>
      </c>
    </row>
    <row r="162" outlineLevel="2">
      <c r="A162" s="96" t="str">
        <f t="shared" si="21"/>
        <v>#REF!</v>
      </c>
      <c r="B162" s="98">
        <f t="shared" si="25"/>
        <v>0</v>
      </c>
      <c r="C162" s="97" t="str">
        <f t="shared" si="22"/>
        <v>#REF!</v>
      </c>
      <c r="D162" s="98" t="str">
        <f t="shared" si="23"/>
        <v>#REF!</v>
      </c>
      <c r="E162" s="98" t="str">
        <f t="shared" si="24"/>
        <v>#REF!</v>
      </c>
      <c r="G162" s="85" t="s">
        <v>126</v>
      </c>
      <c r="H162" s="85" t="s">
        <v>130</v>
      </c>
      <c r="I162" s="42">
        <v>1.0</v>
      </c>
      <c r="J162" s="42"/>
      <c r="K162" s="42"/>
      <c r="L162" s="71" t="s">
        <v>131</v>
      </c>
    </row>
    <row r="163" outlineLevel="2">
      <c r="A163" s="96" t="str">
        <f t="shared" si="21"/>
        <v>#REF!</v>
      </c>
      <c r="B163" s="98">
        <f t="shared" si="25"/>
        <v>0</v>
      </c>
      <c r="C163" s="97" t="str">
        <f t="shared" si="22"/>
        <v>#REF!</v>
      </c>
      <c r="D163" s="98" t="str">
        <f t="shared" si="23"/>
        <v>#REF!</v>
      </c>
      <c r="E163" s="98" t="str">
        <f t="shared" si="24"/>
        <v>#REF!</v>
      </c>
      <c r="G163" s="85" t="s">
        <v>126</v>
      </c>
      <c r="H163" s="85" t="s">
        <v>132</v>
      </c>
      <c r="I163" s="42">
        <v>1.0</v>
      </c>
      <c r="J163" s="42"/>
      <c r="K163" s="42"/>
      <c r="L163" s="71"/>
    </row>
    <row r="164" outlineLevel="2">
      <c r="A164" s="96" t="str">
        <f t="shared" si="21"/>
        <v>#REF!</v>
      </c>
      <c r="B164" s="98">
        <f t="shared" si="25"/>
        <v>0</v>
      </c>
      <c r="C164" s="97" t="str">
        <f t="shared" si="22"/>
        <v>#REF!</v>
      </c>
      <c r="D164" s="98" t="str">
        <f t="shared" si="23"/>
        <v>#REF!</v>
      </c>
      <c r="E164" s="98" t="str">
        <f t="shared" si="24"/>
        <v>#REF!</v>
      </c>
      <c r="G164" s="85" t="s">
        <v>126</v>
      </c>
      <c r="H164" s="85" t="s">
        <v>133</v>
      </c>
      <c r="I164" s="42">
        <v>1.0</v>
      </c>
      <c r="J164" s="42"/>
      <c r="K164" s="42"/>
      <c r="L164" s="71" t="s">
        <v>134</v>
      </c>
    </row>
    <row r="165" outlineLevel="2">
      <c r="A165" s="96" t="str">
        <f t="shared" si="21"/>
        <v>#REF!</v>
      </c>
      <c r="B165" s="98">
        <f t="shared" si="25"/>
        <v>0</v>
      </c>
      <c r="C165" s="97" t="str">
        <f t="shared" si="22"/>
        <v>#REF!</v>
      </c>
      <c r="D165" s="98" t="str">
        <f t="shared" si="23"/>
        <v>#REF!</v>
      </c>
      <c r="E165" s="98" t="str">
        <f t="shared" si="24"/>
        <v>#REF!</v>
      </c>
      <c r="G165" s="85" t="s">
        <v>116</v>
      </c>
      <c r="H165" s="85" t="s">
        <v>135</v>
      </c>
      <c r="I165" s="42">
        <v>1.0</v>
      </c>
      <c r="J165" s="42"/>
      <c r="K165" s="42"/>
      <c r="L165" s="99" t="s">
        <v>136</v>
      </c>
    </row>
    <row r="166" outlineLevel="2">
      <c r="A166" s="96" t="str">
        <f t="shared" si="21"/>
        <v>#REF!</v>
      </c>
      <c r="B166" s="98">
        <f t="shared" si="25"/>
        <v>1.44</v>
      </c>
      <c r="C166" s="97" t="str">
        <f t="shared" si="22"/>
        <v>#REF!</v>
      </c>
      <c r="D166" s="98" t="str">
        <f t="shared" si="23"/>
        <v>#REF!</v>
      </c>
      <c r="E166" s="98" t="str">
        <f t="shared" si="24"/>
        <v>#REF!</v>
      </c>
      <c r="G166" s="85" t="s">
        <v>126</v>
      </c>
      <c r="H166" s="85" t="s">
        <v>133</v>
      </c>
      <c r="I166" s="42">
        <v>1.0</v>
      </c>
      <c r="J166" s="42"/>
      <c r="K166" s="42"/>
      <c r="L166" s="71" t="s">
        <v>142</v>
      </c>
    </row>
    <row r="167" outlineLevel="2">
      <c r="A167" s="96" t="str">
        <f t="shared" si="21"/>
        <v>#REF!</v>
      </c>
      <c r="B167" s="98">
        <f t="shared" si="25"/>
        <v>0</v>
      </c>
      <c r="C167" s="97" t="str">
        <f t="shared" si="22"/>
        <v>#REF!</v>
      </c>
      <c r="D167" s="98" t="str">
        <f t="shared" si="23"/>
        <v>#REF!</v>
      </c>
      <c r="E167" s="98" t="str">
        <f t="shared" si="24"/>
        <v>#REF!</v>
      </c>
      <c r="G167" s="85" t="s">
        <v>126</v>
      </c>
      <c r="H167" s="85" t="s">
        <v>132</v>
      </c>
      <c r="I167" s="42">
        <v>1.0</v>
      </c>
      <c r="J167" s="42"/>
      <c r="K167" s="42"/>
      <c r="L167" s="71" t="s">
        <v>143</v>
      </c>
    </row>
    <row r="168" outlineLevel="2">
      <c r="A168" s="96" t="str">
        <f t="shared" si="21"/>
        <v>#REF!</v>
      </c>
      <c r="B168" s="98">
        <f t="shared" si="25"/>
        <v>0</v>
      </c>
      <c r="C168" s="97" t="str">
        <f t="shared" si="22"/>
        <v>#REF!</v>
      </c>
      <c r="D168" s="98" t="str">
        <f t="shared" si="23"/>
        <v>#REF!</v>
      </c>
      <c r="E168" s="98" t="str">
        <f t="shared" si="24"/>
        <v>#REF!</v>
      </c>
      <c r="G168" s="85" t="s">
        <v>116</v>
      </c>
      <c r="H168" s="85" t="s">
        <v>117</v>
      </c>
      <c r="I168" s="42">
        <v>1.0</v>
      </c>
      <c r="J168" s="42"/>
      <c r="K168" s="42"/>
      <c r="L168" s="71" t="s">
        <v>144</v>
      </c>
    </row>
    <row r="169" outlineLevel="2">
      <c r="A169" s="96" t="str">
        <f t="shared" si="21"/>
        <v>#REF!</v>
      </c>
      <c r="B169" s="98">
        <f t="shared" si="25"/>
        <v>1.44</v>
      </c>
      <c r="C169" s="97" t="str">
        <f t="shared" si="22"/>
        <v>#REF!</v>
      </c>
      <c r="D169" s="98" t="str">
        <f t="shared" si="23"/>
        <v>#REF!</v>
      </c>
      <c r="E169" s="98" t="str">
        <f t="shared" si="24"/>
        <v>#REF!</v>
      </c>
      <c r="G169" s="85" t="s">
        <v>145</v>
      </c>
      <c r="H169" s="85" t="s">
        <v>120</v>
      </c>
      <c r="I169" s="42">
        <v>6.0</v>
      </c>
      <c r="J169" s="42"/>
      <c r="K169" s="42"/>
      <c r="L169" s="71" t="s">
        <v>146</v>
      </c>
    </row>
    <row r="170" outlineLevel="2">
      <c r="A170" s="96" t="str">
        <f t="shared" si="21"/>
        <v>#REF!</v>
      </c>
      <c r="B170" s="98">
        <f t="shared" si="25"/>
        <v>0</v>
      </c>
      <c r="C170" s="97" t="str">
        <f t="shared" si="22"/>
        <v>#REF!</v>
      </c>
      <c r="D170" s="98" t="str">
        <f t="shared" si="23"/>
        <v>#REF!</v>
      </c>
      <c r="E170" s="98" t="str">
        <f t="shared" si="24"/>
        <v>#REF!</v>
      </c>
      <c r="G170" s="85" t="s">
        <v>116</v>
      </c>
      <c r="H170" s="85" t="s">
        <v>117</v>
      </c>
      <c r="I170" s="42">
        <v>1.0</v>
      </c>
      <c r="J170" s="42"/>
      <c r="K170" s="42"/>
      <c r="L170" s="99" t="s">
        <v>147</v>
      </c>
    </row>
    <row r="171" outlineLevel="2">
      <c r="A171" s="96" t="str">
        <f t="shared" si="21"/>
        <v/>
      </c>
      <c r="B171" s="98">
        <f t="shared" si="25"/>
        <v>1.44</v>
      </c>
      <c r="C171" s="97" t="str">
        <f t="shared" si="22"/>
        <v/>
      </c>
      <c r="D171" s="98" t="str">
        <f t="shared" si="23"/>
        <v/>
      </c>
      <c r="E171" s="98">
        <f t="shared" si="24"/>
        <v>0</v>
      </c>
      <c r="G171" s="85"/>
      <c r="H171" s="85"/>
      <c r="I171" s="42"/>
      <c r="J171" s="42"/>
      <c r="K171" s="42"/>
      <c r="L171" s="71"/>
    </row>
    <row r="172" outlineLevel="2">
      <c r="A172" s="96" t="str">
        <f t="shared" si="21"/>
        <v/>
      </c>
      <c r="B172" s="98">
        <f t="shared" si="25"/>
        <v>0</v>
      </c>
      <c r="C172" s="97" t="str">
        <f t="shared" si="22"/>
        <v/>
      </c>
      <c r="D172" s="98" t="str">
        <f t="shared" si="23"/>
        <v/>
      </c>
      <c r="E172" s="98">
        <f t="shared" si="24"/>
        <v>0</v>
      </c>
      <c r="G172" s="85"/>
      <c r="H172" s="85"/>
      <c r="I172" s="42"/>
      <c r="J172" s="42"/>
      <c r="K172" s="42"/>
      <c r="L172" s="102"/>
    </row>
    <row r="173" outlineLevel="2">
      <c r="A173" s="96" t="str">
        <f t="shared" si="21"/>
        <v/>
      </c>
      <c r="B173" s="98">
        <f t="shared" si="25"/>
        <v>0</v>
      </c>
      <c r="C173" s="97" t="str">
        <f t="shared" si="22"/>
        <v/>
      </c>
      <c r="D173" s="98" t="str">
        <f t="shared" si="23"/>
        <v/>
      </c>
      <c r="E173" s="98">
        <f t="shared" si="24"/>
        <v>0</v>
      </c>
      <c r="G173" s="85"/>
      <c r="H173" s="85"/>
      <c r="I173" s="42"/>
      <c r="J173" s="42"/>
      <c r="K173" s="42"/>
      <c r="L173" s="71"/>
    </row>
    <row r="174" outlineLevel="2">
      <c r="A174" s="96" t="str">
        <f t="shared" si="21"/>
        <v/>
      </c>
      <c r="B174" s="98">
        <f t="shared" si="25"/>
        <v>0</v>
      </c>
      <c r="C174" s="97" t="str">
        <f t="shared" si="22"/>
        <v/>
      </c>
      <c r="D174" s="98" t="str">
        <f t="shared" si="23"/>
        <v/>
      </c>
      <c r="E174" s="98">
        <f t="shared" si="24"/>
        <v>0</v>
      </c>
      <c r="G174" s="85"/>
      <c r="H174" s="85"/>
      <c r="I174" s="42"/>
      <c r="J174" s="42"/>
      <c r="K174" s="42"/>
      <c r="L174" s="71"/>
    </row>
    <row r="175" outlineLevel="2">
      <c r="A175" s="96" t="str">
        <f t="shared" si="21"/>
        <v/>
      </c>
      <c r="B175" s="98">
        <f t="shared" si="25"/>
        <v>0</v>
      </c>
      <c r="C175" s="97" t="str">
        <f t="shared" si="22"/>
        <v/>
      </c>
      <c r="D175" s="98" t="str">
        <f t="shared" si="23"/>
        <v/>
      </c>
      <c r="E175" s="98">
        <f t="shared" si="24"/>
        <v>0</v>
      </c>
      <c r="G175" s="85"/>
      <c r="H175" s="85"/>
      <c r="I175" s="42"/>
      <c r="J175" s="42"/>
      <c r="K175" s="42"/>
      <c r="L175" s="71"/>
    </row>
    <row r="176" outlineLevel="2">
      <c r="A176" s="96" t="str">
        <f t="shared" si="21"/>
        <v/>
      </c>
      <c r="B176" s="98">
        <f t="shared" si="25"/>
        <v>0</v>
      </c>
      <c r="C176" s="97" t="str">
        <f t="shared" si="22"/>
        <v/>
      </c>
      <c r="D176" s="98" t="str">
        <f t="shared" si="23"/>
        <v/>
      </c>
      <c r="E176" s="98">
        <f t="shared" si="24"/>
        <v>0</v>
      </c>
      <c r="G176" s="85"/>
      <c r="H176" s="85"/>
      <c r="I176" s="42"/>
      <c r="J176" s="42"/>
      <c r="K176" s="42"/>
      <c r="L176" s="71"/>
    </row>
    <row r="177" outlineLevel="2">
      <c r="A177" s="96" t="str">
        <f t="shared" si="21"/>
        <v/>
      </c>
      <c r="B177" s="98">
        <f t="shared" si="25"/>
        <v>0</v>
      </c>
      <c r="C177" s="97" t="str">
        <f t="shared" si="22"/>
        <v/>
      </c>
      <c r="D177" s="98" t="str">
        <f t="shared" si="23"/>
        <v/>
      </c>
      <c r="E177" s="98">
        <f t="shared" si="24"/>
        <v>0</v>
      </c>
      <c r="G177" s="85"/>
      <c r="H177" s="85"/>
      <c r="I177" s="42"/>
      <c r="J177" s="42"/>
      <c r="K177" s="42"/>
      <c r="L177" s="102"/>
    </row>
    <row r="178" outlineLevel="2">
      <c r="A178" s="96" t="str">
        <f t="shared" si="21"/>
        <v/>
      </c>
      <c r="B178" s="98">
        <f t="shared" si="25"/>
        <v>0</v>
      </c>
      <c r="C178" s="97" t="str">
        <f t="shared" si="22"/>
        <v/>
      </c>
      <c r="D178" s="98" t="str">
        <f t="shared" si="23"/>
        <v/>
      </c>
      <c r="E178" s="98">
        <f t="shared" si="24"/>
        <v>0</v>
      </c>
      <c r="G178" s="85"/>
      <c r="H178" s="85"/>
      <c r="I178" s="42"/>
      <c r="J178" s="42"/>
      <c r="K178" s="42"/>
      <c r="L178" s="102"/>
    </row>
    <row r="179" outlineLevel="2">
      <c r="A179" s="96" t="str">
        <f t="shared" si="21"/>
        <v/>
      </c>
      <c r="B179" s="98">
        <f t="shared" si="25"/>
        <v>0</v>
      </c>
      <c r="C179" s="97" t="str">
        <f t="shared" si="22"/>
        <v/>
      </c>
      <c r="D179" s="98" t="str">
        <f t="shared" si="23"/>
        <v/>
      </c>
      <c r="E179" s="98">
        <f t="shared" si="24"/>
        <v>0</v>
      </c>
      <c r="G179" s="85"/>
      <c r="H179" s="85"/>
      <c r="I179" s="42"/>
      <c r="J179" s="42"/>
      <c r="K179" s="42"/>
      <c r="L179" s="71"/>
    </row>
    <row r="180" outlineLevel="2">
      <c r="A180" s="96" t="str">
        <f t="shared" si="21"/>
        <v/>
      </c>
      <c r="B180" s="98">
        <f t="shared" si="25"/>
        <v>0</v>
      </c>
      <c r="C180" s="97" t="str">
        <f t="shared" si="22"/>
        <v/>
      </c>
      <c r="D180" s="98" t="str">
        <f t="shared" si="23"/>
        <v/>
      </c>
      <c r="E180" s="98">
        <f t="shared" si="24"/>
        <v>0</v>
      </c>
      <c r="G180" s="85"/>
      <c r="H180" s="85"/>
      <c r="I180" s="42"/>
      <c r="J180" s="42"/>
      <c r="K180" s="42"/>
      <c r="L180" s="102"/>
    </row>
    <row r="181" outlineLevel="2">
      <c r="A181" s="96" t="str">
        <f t="shared" si="21"/>
        <v/>
      </c>
      <c r="B181" s="98">
        <f t="shared" si="25"/>
        <v>0</v>
      </c>
      <c r="C181" s="97" t="str">
        <f t="shared" si="22"/>
        <v/>
      </c>
      <c r="D181" s="98" t="str">
        <f t="shared" si="23"/>
        <v/>
      </c>
      <c r="E181" s="98">
        <f t="shared" si="24"/>
        <v>0</v>
      </c>
      <c r="G181" s="85"/>
      <c r="H181" s="85"/>
      <c r="I181" s="42"/>
      <c r="J181" s="42"/>
      <c r="K181" s="42"/>
      <c r="L181" s="71"/>
    </row>
    <row r="182" outlineLevel="2">
      <c r="A182" s="96" t="str">
        <f t="shared" si="21"/>
        <v/>
      </c>
      <c r="B182" s="98">
        <f t="shared" si="25"/>
        <v>0</v>
      </c>
      <c r="C182" s="97" t="str">
        <f t="shared" si="22"/>
        <v/>
      </c>
      <c r="D182" s="98" t="str">
        <f t="shared" si="23"/>
        <v/>
      </c>
      <c r="E182" s="98">
        <f t="shared" si="24"/>
        <v>0</v>
      </c>
      <c r="G182" s="85"/>
      <c r="H182" s="85"/>
      <c r="I182" s="42"/>
      <c r="J182" s="42"/>
      <c r="K182" s="42"/>
      <c r="L182" s="71"/>
    </row>
    <row r="183" outlineLevel="2">
      <c r="A183" s="96" t="str">
        <f t="shared" si="21"/>
        <v/>
      </c>
      <c r="B183" s="98">
        <f t="shared" si="25"/>
        <v>0</v>
      </c>
      <c r="C183" s="97" t="str">
        <f t="shared" si="22"/>
        <v/>
      </c>
      <c r="D183" s="98" t="str">
        <f t="shared" si="23"/>
        <v/>
      </c>
      <c r="E183" s="98">
        <f t="shared" si="24"/>
        <v>0</v>
      </c>
      <c r="G183" s="85"/>
      <c r="H183" s="85"/>
      <c r="I183" s="42"/>
      <c r="J183" s="42"/>
      <c r="K183" s="42"/>
      <c r="L183" s="71"/>
    </row>
    <row r="184" outlineLevel="2">
      <c r="A184" s="96" t="str">
        <f t="shared" si="21"/>
        <v/>
      </c>
      <c r="B184" s="98">
        <f t="shared" si="25"/>
        <v>0</v>
      </c>
      <c r="C184" s="97" t="str">
        <f t="shared" si="22"/>
        <v/>
      </c>
      <c r="D184" s="98" t="str">
        <f t="shared" si="23"/>
        <v/>
      </c>
      <c r="E184" s="98">
        <f t="shared" si="24"/>
        <v>0</v>
      </c>
      <c r="G184" s="85"/>
      <c r="H184" s="85"/>
      <c r="I184" s="42"/>
      <c r="J184" s="42"/>
      <c r="K184" s="42"/>
      <c r="L184" s="71"/>
    </row>
    <row r="185" outlineLevel="2">
      <c r="A185" s="96" t="str">
        <f t="shared" si="21"/>
        <v/>
      </c>
      <c r="B185" s="98">
        <f t="shared" si="25"/>
        <v>0</v>
      </c>
      <c r="C185" s="97" t="str">
        <f t="shared" si="22"/>
        <v/>
      </c>
      <c r="D185" s="98" t="str">
        <f t="shared" si="23"/>
        <v/>
      </c>
      <c r="E185" s="98">
        <f t="shared" si="24"/>
        <v>0</v>
      </c>
      <c r="G185" s="85"/>
      <c r="H185" s="85"/>
      <c r="I185" s="42"/>
      <c r="J185" s="42"/>
      <c r="K185" s="42"/>
      <c r="L185" s="71"/>
    </row>
    <row r="186" outlineLevel="2">
      <c r="A186" s="96" t="str">
        <f t="shared" si="21"/>
        <v/>
      </c>
      <c r="B186" s="98">
        <f t="shared" si="25"/>
        <v>0</v>
      </c>
      <c r="C186" s="97" t="str">
        <f t="shared" si="22"/>
        <v/>
      </c>
      <c r="D186" s="98" t="str">
        <f t="shared" si="23"/>
        <v/>
      </c>
      <c r="E186" s="98">
        <f t="shared" si="24"/>
        <v>0</v>
      </c>
      <c r="G186" s="85"/>
      <c r="H186" s="85"/>
      <c r="I186" s="42"/>
      <c r="J186" s="42"/>
      <c r="K186" s="42"/>
      <c r="L186" s="102"/>
    </row>
    <row r="187" outlineLevel="2">
      <c r="A187" s="96" t="str">
        <f t="shared" si="21"/>
        <v/>
      </c>
      <c r="B187" s="98">
        <f t="shared" si="25"/>
        <v>0</v>
      </c>
      <c r="C187" s="97" t="str">
        <f t="shared" si="22"/>
        <v/>
      </c>
      <c r="D187" s="98" t="str">
        <f t="shared" si="23"/>
        <v/>
      </c>
      <c r="E187" s="98">
        <f t="shared" si="24"/>
        <v>0</v>
      </c>
      <c r="G187" s="85"/>
      <c r="H187" s="85"/>
      <c r="I187" s="42"/>
      <c r="J187" s="42"/>
      <c r="K187" s="42"/>
      <c r="L187" s="71"/>
    </row>
    <row r="188" outlineLevel="2">
      <c r="A188" s="96" t="str">
        <f t="shared" si="21"/>
        <v/>
      </c>
      <c r="B188" s="98">
        <f t="shared" si="25"/>
        <v>0</v>
      </c>
      <c r="C188" s="97" t="str">
        <f t="shared" si="22"/>
        <v/>
      </c>
      <c r="D188" s="98" t="str">
        <f t="shared" si="23"/>
        <v/>
      </c>
      <c r="E188" s="98">
        <f t="shared" si="24"/>
        <v>0</v>
      </c>
      <c r="G188" s="85"/>
      <c r="H188" s="85"/>
      <c r="I188" s="42"/>
      <c r="J188" s="42"/>
      <c r="K188" s="42"/>
      <c r="L188" s="102"/>
    </row>
    <row r="189" outlineLevel="2">
      <c r="A189" s="96" t="str">
        <f t="shared" si="21"/>
        <v/>
      </c>
      <c r="B189" s="98">
        <f t="shared" si="25"/>
        <v>0</v>
      </c>
      <c r="C189" s="97" t="str">
        <f t="shared" si="22"/>
        <v/>
      </c>
      <c r="D189" s="98" t="str">
        <f t="shared" si="23"/>
        <v/>
      </c>
      <c r="E189" s="98">
        <f t="shared" si="24"/>
        <v>0</v>
      </c>
      <c r="G189" s="85"/>
      <c r="H189" s="85"/>
      <c r="I189" s="42"/>
      <c r="J189" s="42"/>
      <c r="K189" s="42"/>
      <c r="L189" s="102"/>
    </row>
    <row r="190" outlineLevel="2">
      <c r="A190" s="96" t="str">
        <f t="shared" si="21"/>
        <v/>
      </c>
      <c r="B190" s="98">
        <f t="shared" si="25"/>
        <v>0</v>
      </c>
      <c r="C190" s="97" t="str">
        <f t="shared" si="22"/>
        <v/>
      </c>
      <c r="D190" s="98" t="str">
        <f t="shared" si="23"/>
        <v/>
      </c>
      <c r="E190" s="98">
        <f t="shared" si="24"/>
        <v>0</v>
      </c>
      <c r="G190" s="100"/>
      <c r="H190" s="100"/>
      <c r="I190" s="42"/>
      <c r="J190" s="42"/>
      <c r="K190" s="42"/>
      <c r="L190" s="71"/>
    </row>
    <row r="191" outlineLevel="2">
      <c r="A191" s="96" t="str">
        <f t="shared" si="21"/>
        <v/>
      </c>
      <c r="B191" s="98">
        <f t="shared" si="25"/>
        <v>0</v>
      </c>
      <c r="C191" s="97" t="str">
        <f t="shared" si="22"/>
        <v/>
      </c>
      <c r="D191" s="98" t="str">
        <f t="shared" si="23"/>
        <v/>
      </c>
      <c r="E191" s="98">
        <f t="shared" si="24"/>
        <v>0</v>
      </c>
      <c r="G191" s="100"/>
      <c r="H191" s="100"/>
      <c r="I191" s="101"/>
      <c r="J191" s="42"/>
      <c r="K191" s="42"/>
      <c r="L191" s="71"/>
    </row>
    <row r="192" outlineLevel="2">
      <c r="A192" s="96" t="str">
        <f t="shared" si="21"/>
        <v/>
      </c>
      <c r="B192" s="98">
        <f t="shared" si="25"/>
        <v>0</v>
      </c>
      <c r="C192" s="97" t="str">
        <f t="shared" si="22"/>
        <v/>
      </c>
      <c r="D192" s="98" t="str">
        <f t="shared" si="23"/>
        <v/>
      </c>
      <c r="E192" s="98">
        <f t="shared" si="24"/>
        <v>0</v>
      </c>
      <c r="G192" s="85"/>
      <c r="H192" s="100"/>
      <c r="I192" s="101"/>
      <c r="J192" s="42"/>
      <c r="K192" s="42"/>
      <c r="L192" s="71"/>
    </row>
    <row r="193" outlineLevel="2">
      <c r="A193" s="96" t="str">
        <f t="shared" si="21"/>
        <v/>
      </c>
      <c r="B193" s="98">
        <f t="shared" si="25"/>
        <v>0</v>
      </c>
      <c r="C193" s="97" t="str">
        <f t="shared" si="22"/>
        <v/>
      </c>
      <c r="D193" s="98" t="str">
        <f t="shared" si="23"/>
        <v/>
      </c>
      <c r="E193" s="98">
        <f t="shared" si="24"/>
        <v>0</v>
      </c>
      <c r="G193" s="85"/>
      <c r="H193" s="85"/>
      <c r="I193" s="42"/>
      <c r="J193" s="42"/>
      <c r="K193" s="42"/>
      <c r="L193" s="71"/>
    </row>
    <row r="194" outlineLevel="2">
      <c r="A194" s="96" t="str">
        <f t="shared" si="21"/>
        <v/>
      </c>
      <c r="B194" s="98">
        <f t="shared" si="25"/>
        <v>0</v>
      </c>
      <c r="C194" s="97" t="str">
        <f t="shared" si="22"/>
        <v/>
      </c>
      <c r="D194" s="98" t="str">
        <f t="shared" si="23"/>
        <v/>
      </c>
      <c r="E194" s="98">
        <f t="shared" si="24"/>
        <v>0</v>
      </c>
      <c r="G194" s="85"/>
      <c r="H194" s="85"/>
      <c r="I194" s="42"/>
      <c r="J194" s="42"/>
      <c r="K194" s="42"/>
      <c r="L194" s="71"/>
    </row>
    <row r="195" outlineLevel="2">
      <c r="A195" s="96" t="str">
        <f t="shared" si="21"/>
        <v/>
      </c>
      <c r="B195" s="98">
        <f t="shared" si="25"/>
        <v>0</v>
      </c>
      <c r="C195" s="97" t="str">
        <f t="shared" si="22"/>
        <v/>
      </c>
      <c r="D195" s="98" t="str">
        <f t="shared" si="23"/>
        <v/>
      </c>
      <c r="E195" s="98">
        <f t="shared" si="24"/>
        <v>0</v>
      </c>
      <c r="G195" s="85"/>
      <c r="H195" s="85"/>
      <c r="I195" s="42"/>
      <c r="J195" s="42"/>
      <c r="K195" s="42"/>
      <c r="L195" s="71"/>
    </row>
    <row r="196" outlineLevel="2">
      <c r="A196" s="96" t="str">
        <f t="shared" si="21"/>
        <v/>
      </c>
      <c r="B196" s="98">
        <f t="shared" si="25"/>
        <v>0</v>
      </c>
      <c r="C196" s="97" t="str">
        <f t="shared" si="22"/>
        <v/>
      </c>
      <c r="D196" s="98" t="str">
        <f t="shared" si="23"/>
        <v/>
      </c>
      <c r="E196" s="98">
        <f t="shared" si="24"/>
        <v>0</v>
      </c>
      <c r="G196" s="85"/>
      <c r="H196" s="85"/>
      <c r="I196" s="42"/>
      <c r="J196" s="42"/>
      <c r="K196" s="42"/>
      <c r="L196" s="102"/>
    </row>
    <row r="197" outlineLevel="2">
      <c r="A197" s="96" t="str">
        <f t="shared" si="21"/>
        <v/>
      </c>
      <c r="B197" s="98">
        <f t="shared" si="25"/>
        <v>0</v>
      </c>
      <c r="C197" s="97" t="str">
        <f t="shared" si="22"/>
        <v/>
      </c>
      <c r="D197" s="98" t="str">
        <f t="shared" si="23"/>
        <v/>
      </c>
      <c r="E197" s="98">
        <f t="shared" si="24"/>
        <v>0</v>
      </c>
      <c r="G197" s="85"/>
      <c r="H197" s="85"/>
      <c r="I197" s="42"/>
      <c r="J197" s="42"/>
      <c r="K197" s="42"/>
      <c r="L197" s="71"/>
    </row>
    <row r="198" outlineLevel="2">
      <c r="A198" s="96" t="str">
        <f t="shared" si="21"/>
        <v/>
      </c>
      <c r="B198" s="98">
        <f t="shared" si="25"/>
        <v>0</v>
      </c>
      <c r="C198" s="97" t="str">
        <f t="shared" si="22"/>
        <v/>
      </c>
      <c r="D198" s="98" t="str">
        <f t="shared" si="23"/>
        <v/>
      </c>
      <c r="E198" s="98">
        <f t="shared" si="24"/>
        <v>0</v>
      </c>
      <c r="G198" s="85"/>
      <c r="H198" s="85"/>
      <c r="I198" s="42"/>
      <c r="J198" s="42"/>
      <c r="K198" s="42"/>
      <c r="L198" s="71"/>
    </row>
    <row r="199" outlineLevel="2">
      <c r="A199" s="96" t="str">
        <f t="shared" si="21"/>
        <v/>
      </c>
      <c r="B199" s="98">
        <f t="shared" si="25"/>
        <v>0</v>
      </c>
      <c r="C199" s="97" t="str">
        <f t="shared" si="22"/>
        <v/>
      </c>
      <c r="D199" s="98" t="str">
        <f t="shared" si="23"/>
        <v/>
      </c>
      <c r="E199" s="98">
        <f t="shared" si="24"/>
        <v>0</v>
      </c>
      <c r="G199" s="85"/>
      <c r="H199" s="85"/>
      <c r="I199" s="42"/>
      <c r="J199" s="42"/>
      <c r="K199" s="42"/>
      <c r="L199" s="71"/>
    </row>
    <row r="200" outlineLevel="2">
      <c r="A200" s="96" t="str">
        <f t="shared" si="21"/>
        <v/>
      </c>
      <c r="B200" s="98">
        <f t="shared" si="25"/>
        <v>0</v>
      </c>
      <c r="C200" s="97" t="str">
        <f t="shared" si="22"/>
        <v/>
      </c>
      <c r="D200" s="98" t="str">
        <f t="shared" si="23"/>
        <v/>
      </c>
      <c r="E200" s="98">
        <f t="shared" si="24"/>
        <v>0</v>
      </c>
      <c r="G200" s="85"/>
      <c r="H200" s="85"/>
      <c r="I200" s="42"/>
      <c r="J200" s="42"/>
      <c r="K200" s="42"/>
      <c r="L200" s="71"/>
    </row>
    <row r="201" outlineLevel="2">
      <c r="A201" s="96" t="str">
        <f t="shared" si="21"/>
        <v/>
      </c>
      <c r="B201" s="98">
        <f t="shared" si="25"/>
        <v>0</v>
      </c>
      <c r="C201" s="97" t="str">
        <f t="shared" si="22"/>
        <v/>
      </c>
      <c r="D201" s="98" t="str">
        <f t="shared" si="23"/>
        <v/>
      </c>
      <c r="E201" s="98">
        <f t="shared" si="24"/>
        <v>0</v>
      </c>
      <c r="G201" s="85"/>
      <c r="H201" s="85"/>
      <c r="I201" s="42"/>
      <c r="J201" s="42"/>
      <c r="K201" s="42"/>
      <c r="L201" s="102"/>
    </row>
    <row r="202" outlineLevel="2">
      <c r="A202" s="96" t="str">
        <f t="shared" si="21"/>
        <v/>
      </c>
      <c r="B202" s="98">
        <f t="shared" si="25"/>
        <v>0</v>
      </c>
      <c r="C202" s="97" t="str">
        <f t="shared" si="22"/>
        <v/>
      </c>
      <c r="D202" s="98" t="str">
        <f t="shared" si="23"/>
        <v/>
      </c>
      <c r="E202" s="98">
        <f t="shared" si="24"/>
        <v>0</v>
      </c>
      <c r="G202" s="85"/>
      <c r="H202" s="85"/>
      <c r="I202" s="42"/>
      <c r="J202" s="42"/>
      <c r="K202" s="42"/>
      <c r="L202" s="102"/>
    </row>
    <row r="203" outlineLevel="2">
      <c r="A203" s="96" t="str">
        <f t="shared" si="21"/>
        <v/>
      </c>
      <c r="B203" s="98">
        <f t="shared" si="25"/>
        <v>0</v>
      </c>
      <c r="C203" s="97" t="str">
        <f t="shared" si="22"/>
        <v/>
      </c>
      <c r="D203" s="98" t="str">
        <f t="shared" si="23"/>
        <v/>
      </c>
      <c r="E203" s="98">
        <f t="shared" si="24"/>
        <v>0</v>
      </c>
      <c r="G203" s="85"/>
      <c r="H203" s="85"/>
      <c r="I203" s="42"/>
      <c r="J203" s="42"/>
      <c r="K203" s="42"/>
      <c r="L203" s="71"/>
    </row>
    <row r="204" outlineLevel="2">
      <c r="A204" s="39"/>
      <c r="B204" s="39"/>
      <c r="C204" s="39"/>
      <c r="D204" s="39"/>
      <c r="E204" s="39"/>
      <c r="F204" s="39" t="s">
        <v>148</v>
      </c>
      <c r="G204" s="51" t="str">
        <f>if(G152=TRUE,0,if(G151=FALSE,(SUM(B154:B203)+SUM(E154:E203)),999999))</f>
        <v>#REF!</v>
      </c>
      <c r="H204" s="76" t="s">
        <v>149</v>
      </c>
    </row>
    <row r="205" outlineLevel="2">
      <c r="A205" s="39"/>
      <c r="B205" s="39"/>
      <c r="C205" s="39"/>
      <c r="D205" s="39"/>
      <c r="E205" s="39"/>
      <c r="F205" s="39"/>
    </row>
    <row r="206" outlineLevel="1">
      <c r="A206" s="39"/>
      <c r="B206" s="39"/>
      <c r="C206" s="39"/>
      <c r="D206" s="39"/>
      <c r="E206" s="39"/>
      <c r="F206" s="39">
        <v>9.2</v>
      </c>
      <c r="G206" s="52" t="str">
        <f>if(G4="","TBD",hlookup(G4,'Scored Components + Weights'!1:17,8,FALSE))</f>
        <v>#REF!</v>
      </c>
      <c r="H206" s="53"/>
      <c r="I206" s="53"/>
      <c r="J206" s="53"/>
      <c r="K206" s="54"/>
      <c r="L206" s="71" t="s">
        <v>150</v>
      </c>
    </row>
    <row r="207" outlineLevel="2">
      <c r="A207" s="93"/>
      <c r="B207" s="94"/>
      <c r="C207" s="93"/>
      <c r="D207" s="93"/>
      <c r="E207" s="93"/>
      <c r="F207" s="39"/>
      <c r="G207" s="87" t="b">
        <v>1</v>
      </c>
      <c r="H207" s="87" t="s">
        <v>103</v>
      </c>
      <c r="L207" s="103" t="s">
        <v>151</v>
      </c>
    </row>
    <row r="208" outlineLevel="2">
      <c r="A208" s="93"/>
      <c r="B208" s="94"/>
      <c r="C208" s="93"/>
      <c r="D208" s="93"/>
      <c r="E208" s="93"/>
      <c r="F208" s="39"/>
      <c r="G208" s="87" t="b">
        <v>0</v>
      </c>
      <c r="H208" s="87" t="s">
        <v>105</v>
      </c>
      <c r="L208" s="71" t="s">
        <v>152</v>
      </c>
    </row>
    <row r="209" outlineLevel="2">
      <c r="A209" s="93" t="s">
        <v>74</v>
      </c>
      <c r="B209" s="94" t="s">
        <v>107</v>
      </c>
      <c r="C209" s="93" t="s">
        <v>108</v>
      </c>
      <c r="D209" s="93" t="s">
        <v>109</v>
      </c>
      <c r="E209" s="93" t="s">
        <v>110</v>
      </c>
      <c r="F209" s="39">
        <v>9.3</v>
      </c>
      <c r="G209" s="87" t="s">
        <v>111</v>
      </c>
      <c r="H209" s="87" t="s">
        <v>112</v>
      </c>
      <c r="I209" s="86" t="s">
        <v>113</v>
      </c>
      <c r="J209" s="95" t="s">
        <v>114</v>
      </c>
      <c r="K209" s="95" t="s">
        <v>115</v>
      </c>
      <c r="L209" s="71"/>
    </row>
    <row r="210" outlineLevel="2">
      <c r="A210" s="96" t="str">
        <f t="shared" ref="A210:A259" si="26">if(G210="","",vlookup(G210,Tools!$A$8:$E$177,5,FALSE))</f>
        <v/>
      </c>
      <c r="B210" s="94" t="s">
        <v>41</v>
      </c>
      <c r="C210" s="97" t="str">
        <f t="shared" ref="C210:C259" si="27">if(H210="","",vlookup(H210,'Actions + Proxy Times'!$A$3:$E$118,5,FALSE)*I210)</f>
        <v/>
      </c>
      <c r="D210" s="98" t="str">
        <f t="shared" ref="D210:D259" si="28">if(C210&gt;0,"",sum(J210:K210)*I210)</f>
        <v/>
      </c>
      <c r="E210" s="98">
        <f t="shared" ref="E210:E259" si="29">if(C210&gt;0,C210*A210,D210*A210)</f>
        <v>0</v>
      </c>
      <c r="F210" s="39">
        <v>9.4</v>
      </c>
      <c r="G210" s="85"/>
      <c r="H210" s="85"/>
      <c r="I210" s="42"/>
      <c r="J210" s="42"/>
      <c r="K210" s="42"/>
      <c r="L210" s="71"/>
    </row>
    <row r="211" outlineLevel="2">
      <c r="A211" s="96" t="str">
        <f t="shared" si="26"/>
        <v/>
      </c>
      <c r="B211" s="98">
        <f t="shared" ref="B211:B259" si="30">if(G211="hand",0,if(G211=G210,0,1.44))</f>
        <v>0</v>
      </c>
      <c r="C211" s="97" t="str">
        <f t="shared" si="27"/>
        <v/>
      </c>
      <c r="D211" s="98" t="str">
        <f t="shared" si="28"/>
        <v/>
      </c>
      <c r="E211" s="98">
        <f t="shared" si="29"/>
        <v>0</v>
      </c>
      <c r="G211" s="85"/>
      <c r="H211" s="85"/>
      <c r="I211" s="42"/>
      <c r="J211" s="42"/>
      <c r="K211" s="42"/>
      <c r="L211" s="71"/>
    </row>
    <row r="212" outlineLevel="2">
      <c r="A212" s="96" t="str">
        <f t="shared" si="26"/>
        <v/>
      </c>
      <c r="B212" s="98">
        <f t="shared" si="30"/>
        <v>0</v>
      </c>
      <c r="C212" s="97" t="str">
        <f t="shared" si="27"/>
        <v/>
      </c>
      <c r="D212" s="98" t="str">
        <f t="shared" si="28"/>
        <v/>
      </c>
      <c r="E212" s="98">
        <f t="shared" si="29"/>
        <v>0</v>
      </c>
      <c r="G212" s="85"/>
      <c r="H212" s="85"/>
      <c r="I212" s="42"/>
      <c r="J212" s="104"/>
      <c r="K212" s="104"/>
      <c r="L212" s="71"/>
    </row>
    <row r="213" outlineLevel="2">
      <c r="A213" s="96" t="str">
        <f t="shared" si="26"/>
        <v/>
      </c>
      <c r="B213" s="98">
        <f t="shared" si="30"/>
        <v>0</v>
      </c>
      <c r="C213" s="97" t="str">
        <f t="shared" si="27"/>
        <v/>
      </c>
      <c r="D213" s="98" t="str">
        <f t="shared" si="28"/>
        <v/>
      </c>
      <c r="E213" s="98">
        <f t="shared" si="29"/>
        <v>0</v>
      </c>
      <c r="G213" s="85"/>
      <c r="H213" s="85"/>
      <c r="I213" s="42"/>
      <c r="J213" s="104"/>
      <c r="K213" s="104"/>
      <c r="L213" s="71"/>
    </row>
    <row r="214" outlineLevel="2">
      <c r="A214" s="96" t="str">
        <f t="shared" si="26"/>
        <v/>
      </c>
      <c r="B214" s="98">
        <f t="shared" si="30"/>
        <v>0</v>
      </c>
      <c r="C214" s="97" t="str">
        <f t="shared" si="27"/>
        <v/>
      </c>
      <c r="D214" s="98" t="str">
        <f t="shared" si="28"/>
        <v/>
      </c>
      <c r="E214" s="98">
        <f t="shared" si="29"/>
        <v>0</v>
      </c>
      <c r="G214" s="85"/>
      <c r="H214" s="85"/>
      <c r="I214" s="42"/>
      <c r="J214" s="42"/>
      <c r="K214" s="42"/>
      <c r="L214" s="71"/>
    </row>
    <row r="215" outlineLevel="2">
      <c r="A215" s="96" t="str">
        <f t="shared" si="26"/>
        <v/>
      </c>
      <c r="B215" s="98">
        <f t="shared" si="30"/>
        <v>0</v>
      </c>
      <c r="C215" s="97" t="str">
        <f t="shared" si="27"/>
        <v/>
      </c>
      <c r="D215" s="98" t="str">
        <f t="shared" si="28"/>
        <v/>
      </c>
      <c r="E215" s="98">
        <f t="shared" si="29"/>
        <v>0</v>
      </c>
      <c r="G215" s="85"/>
      <c r="H215" s="85"/>
      <c r="I215" s="42"/>
      <c r="J215" s="104"/>
      <c r="K215" s="104"/>
      <c r="L215" s="71"/>
    </row>
    <row r="216" outlineLevel="2">
      <c r="A216" s="96" t="str">
        <f t="shared" si="26"/>
        <v/>
      </c>
      <c r="B216" s="98">
        <f t="shared" si="30"/>
        <v>0</v>
      </c>
      <c r="C216" s="97" t="str">
        <f t="shared" si="27"/>
        <v/>
      </c>
      <c r="D216" s="98" t="str">
        <f t="shared" si="28"/>
        <v/>
      </c>
      <c r="E216" s="98">
        <f t="shared" si="29"/>
        <v>0</v>
      </c>
      <c r="G216" s="85"/>
      <c r="H216" s="85"/>
      <c r="I216" s="42"/>
      <c r="J216" s="104"/>
      <c r="K216" s="104"/>
      <c r="L216" s="102"/>
    </row>
    <row r="217" outlineLevel="2">
      <c r="A217" s="96" t="str">
        <f t="shared" si="26"/>
        <v/>
      </c>
      <c r="B217" s="98">
        <f t="shared" si="30"/>
        <v>0</v>
      </c>
      <c r="C217" s="97" t="str">
        <f t="shared" si="27"/>
        <v/>
      </c>
      <c r="D217" s="98" t="str">
        <f t="shared" si="28"/>
        <v/>
      </c>
      <c r="E217" s="98">
        <f t="shared" si="29"/>
        <v>0</v>
      </c>
      <c r="G217" s="85"/>
      <c r="H217" s="85"/>
      <c r="I217" s="42"/>
      <c r="J217" s="104"/>
      <c r="K217" s="104"/>
      <c r="L217" s="71"/>
    </row>
    <row r="218" outlineLevel="2">
      <c r="A218" s="96" t="str">
        <f t="shared" si="26"/>
        <v/>
      </c>
      <c r="B218" s="98">
        <f t="shared" si="30"/>
        <v>0</v>
      </c>
      <c r="C218" s="97" t="str">
        <f t="shared" si="27"/>
        <v/>
      </c>
      <c r="D218" s="98" t="str">
        <f t="shared" si="28"/>
        <v/>
      </c>
      <c r="E218" s="98">
        <f t="shared" si="29"/>
        <v>0</v>
      </c>
      <c r="G218" s="85"/>
      <c r="H218" s="85"/>
      <c r="I218" s="42"/>
      <c r="J218" s="104"/>
      <c r="K218" s="104"/>
      <c r="L218" s="71"/>
    </row>
    <row r="219" outlineLevel="2">
      <c r="A219" s="96" t="str">
        <f t="shared" si="26"/>
        <v/>
      </c>
      <c r="B219" s="98">
        <f t="shared" si="30"/>
        <v>0</v>
      </c>
      <c r="C219" s="97" t="str">
        <f t="shared" si="27"/>
        <v/>
      </c>
      <c r="D219" s="98" t="str">
        <f t="shared" si="28"/>
        <v/>
      </c>
      <c r="E219" s="98">
        <f t="shared" si="29"/>
        <v>0</v>
      </c>
      <c r="G219" s="85"/>
      <c r="H219" s="85"/>
      <c r="I219" s="42"/>
      <c r="J219" s="104"/>
      <c r="K219" s="104"/>
      <c r="L219" s="71"/>
    </row>
    <row r="220" outlineLevel="2">
      <c r="A220" s="96" t="str">
        <f t="shared" si="26"/>
        <v/>
      </c>
      <c r="B220" s="98">
        <f t="shared" si="30"/>
        <v>0</v>
      </c>
      <c r="C220" s="97" t="str">
        <f t="shared" si="27"/>
        <v/>
      </c>
      <c r="D220" s="98" t="str">
        <f t="shared" si="28"/>
        <v/>
      </c>
      <c r="E220" s="98">
        <f t="shared" si="29"/>
        <v>0</v>
      </c>
      <c r="G220" s="85"/>
      <c r="H220" s="85"/>
      <c r="I220" s="42"/>
      <c r="J220" s="104"/>
      <c r="K220" s="104"/>
      <c r="L220" s="102"/>
    </row>
    <row r="221" outlineLevel="2">
      <c r="A221" s="96" t="str">
        <f t="shared" si="26"/>
        <v/>
      </c>
      <c r="B221" s="98">
        <f t="shared" si="30"/>
        <v>0</v>
      </c>
      <c r="C221" s="97" t="str">
        <f t="shared" si="27"/>
        <v/>
      </c>
      <c r="D221" s="98" t="str">
        <f t="shared" si="28"/>
        <v/>
      </c>
      <c r="E221" s="98">
        <f t="shared" si="29"/>
        <v>0</v>
      </c>
      <c r="G221" s="85"/>
      <c r="H221" s="85"/>
      <c r="I221" s="42"/>
      <c r="J221" s="104"/>
      <c r="K221" s="104"/>
      <c r="L221" s="102"/>
    </row>
    <row r="222" outlineLevel="2">
      <c r="A222" s="96" t="str">
        <f t="shared" si="26"/>
        <v/>
      </c>
      <c r="B222" s="98">
        <f t="shared" si="30"/>
        <v>0</v>
      </c>
      <c r="C222" s="97" t="str">
        <f t="shared" si="27"/>
        <v/>
      </c>
      <c r="D222" s="98" t="str">
        <f t="shared" si="28"/>
        <v/>
      </c>
      <c r="E222" s="98">
        <f t="shared" si="29"/>
        <v>0</v>
      </c>
      <c r="G222" s="100"/>
      <c r="H222" s="100"/>
      <c r="I222" s="42"/>
      <c r="J222" s="42"/>
      <c r="K222" s="42"/>
      <c r="L222" s="71"/>
    </row>
    <row r="223" outlineLevel="2">
      <c r="A223" s="96" t="str">
        <f t="shared" si="26"/>
        <v/>
      </c>
      <c r="B223" s="98">
        <f t="shared" si="30"/>
        <v>0</v>
      </c>
      <c r="C223" s="97" t="str">
        <f t="shared" si="27"/>
        <v/>
      </c>
      <c r="D223" s="98" t="str">
        <f t="shared" si="28"/>
        <v/>
      </c>
      <c r="E223" s="98">
        <f t="shared" si="29"/>
        <v>0</v>
      </c>
      <c r="G223" s="100"/>
      <c r="H223" s="100"/>
      <c r="I223" s="101"/>
      <c r="J223" s="104"/>
      <c r="K223" s="104"/>
      <c r="L223" s="71"/>
    </row>
    <row r="224" outlineLevel="2">
      <c r="A224" s="96" t="str">
        <f t="shared" si="26"/>
        <v/>
      </c>
      <c r="B224" s="98">
        <f t="shared" si="30"/>
        <v>0</v>
      </c>
      <c r="C224" s="97" t="str">
        <f t="shared" si="27"/>
        <v/>
      </c>
      <c r="D224" s="98" t="str">
        <f t="shared" si="28"/>
        <v/>
      </c>
      <c r="E224" s="98">
        <f t="shared" si="29"/>
        <v>0</v>
      </c>
      <c r="G224" s="85"/>
      <c r="H224" s="100"/>
      <c r="I224" s="101"/>
      <c r="J224" s="104"/>
      <c r="K224" s="104"/>
      <c r="L224" s="71"/>
    </row>
    <row r="225" outlineLevel="2">
      <c r="A225" s="96" t="str">
        <f t="shared" si="26"/>
        <v/>
      </c>
      <c r="B225" s="98">
        <f t="shared" si="30"/>
        <v>0</v>
      </c>
      <c r="C225" s="97" t="str">
        <f t="shared" si="27"/>
        <v/>
      </c>
      <c r="D225" s="98" t="str">
        <f t="shared" si="28"/>
        <v/>
      </c>
      <c r="E225" s="98">
        <f t="shared" si="29"/>
        <v>0</v>
      </c>
      <c r="G225" s="85"/>
      <c r="H225" s="85"/>
      <c r="I225" s="42"/>
      <c r="J225" s="104"/>
      <c r="K225" s="104"/>
      <c r="L225" s="71"/>
    </row>
    <row r="226" outlineLevel="2">
      <c r="A226" s="96" t="str">
        <f t="shared" si="26"/>
        <v/>
      </c>
      <c r="B226" s="98">
        <f t="shared" si="30"/>
        <v>0</v>
      </c>
      <c r="C226" s="97" t="str">
        <f t="shared" si="27"/>
        <v/>
      </c>
      <c r="D226" s="98" t="str">
        <f t="shared" si="28"/>
        <v/>
      </c>
      <c r="E226" s="98">
        <f t="shared" si="29"/>
        <v>0</v>
      </c>
      <c r="G226" s="85"/>
      <c r="H226" s="85"/>
      <c r="I226" s="42"/>
      <c r="J226" s="104"/>
      <c r="K226" s="104"/>
      <c r="L226" s="71"/>
    </row>
    <row r="227" outlineLevel="2">
      <c r="A227" s="96" t="str">
        <f t="shared" si="26"/>
        <v/>
      </c>
      <c r="B227" s="98">
        <f t="shared" si="30"/>
        <v>0</v>
      </c>
      <c r="C227" s="97" t="str">
        <f t="shared" si="27"/>
        <v/>
      </c>
      <c r="D227" s="98" t="str">
        <f t="shared" si="28"/>
        <v/>
      </c>
      <c r="E227" s="98">
        <f t="shared" si="29"/>
        <v>0</v>
      </c>
      <c r="G227" s="85"/>
      <c r="H227" s="85"/>
      <c r="I227" s="42"/>
      <c r="J227" s="104"/>
      <c r="K227" s="104"/>
      <c r="L227" s="71"/>
    </row>
    <row r="228" outlineLevel="2">
      <c r="A228" s="96" t="str">
        <f t="shared" si="26"/>
        <v/>
      </c>
      <c r="B228" s="98">
        <f t="shared" si="30"/>
        <v>0</v>
      </c>
      <c r="C228" s="97" t="str">
        <f t="shared" si="27"/>
        <v/>
      </c>
      <c r="D228" s="98" t="str">
        <f t="shared" si="28"/>
        <v/>
      </c>
      <c r="E228" s="98">
        <f t="shared" si="29"/>
        <v>0</v>
      </c>
      <c r="G228" s="85"/>
      <c r="H228" s="85"/>
      <c r="I228" s="42"/>
      <c r="J228" s="104"/>
      <c r="K228" s="104"/>
      <c r="L228" s="102"/>
    </row>
    <row r="229" outlineLevel="2">
      <c r="A229" s="96" t="str">
        <f t="shared" si="26"/>
        <v/>
      </c>
      <c r="B229" s="98">
        <f t="shared" si="30"/>
        <v>0</v>
      </c>
      <c r="C229" s="97" t="str">
        <f t="shared" si="27"/>
        <v/>
      </c>
      <c r="D229" s="98" t="str">
        <f t="shared" si="28"/>
        <v/>
      </c>
      <c r="E229" s="98">
        <f t="shared" si="29"/>
        <v>0</v>
      </c>
      <c r="G229" s="85"/>
      <c r="H229" s="85"/>
      <c r="I229" s="42"/>
      <c r="J229" s="104"/>
      <c r="K229" s="104"/>
      <c r="L229" s="71"/>
    </row>
    <row r="230" outlineLevel="2">
      <c r="A230" s="96" t="str">
        <f t="shared" si="26"/>
        <v/>
      </c>
      <c r="B230" s="98">
        <f t="shared" si="30"/>
        <v>0</v>
      </c>
      <c r="C230" s="97" t="str">
        <f t="shared" si="27"/>
        <v/>
      </c>
      <c r="D230" s="98" t="str">
        <f t="shared" si="28"/>
        <v/>
      </c>
      <c r="E230" s="98">
        <f t="shared" si="29"/>
        <v>0</v>
      </c>
      <c r="G230" s="85"/>
      <c r="H230" s="85"/>
      <c r="I230" s="42"/>
      <c r="J230" s="104"/>
      <c r="K230" s="104"/>
      <c r="L230" s="71"/>
    </row>
    <row r="231" outlineLevel="2">
      <c r="A231" s="96" t="str">
        <f t="shared" si="26"/>
        <v/>
      </c>
      <c r="B231" s="98">
        <f t="shared" si="30"/>
        <v>0</v>
      </c>
      <c r="C231" s="97" t="str">
        <f t="shared" si="27"/>
        <v/>
      </c>
      <c r="D231" s="98" t="str">
        <f t="shared" si="28"/>
        <v/>
      </c>
      <c r="E231" s="98">
        <f t="shared" si="29"/>
        <v>0</v>
      </c>
      <c r="G231" s="85"/>
      <c r="H231" s="85"/>
      <c r="I231" s="42"/>
      <c r="J231" s="104"/>
      <c r="K231" s="104"/>
      <c r="L231" s="71"/>
    </row>
    <row r="232" outlineLevel="2">
      <c r="A232" s="96" t="str">
        <f t="shared" si="26"/>
        <v/>
      </c>
      <c r="B232" s="98">
        <f t="shared" si="30"/>
        <v>0</v>
      </c>
      <c r="C232" s="97" t="str">
        <f t="shared" si="27"/>
        <v/>
      </c>
      <c r="D232" s="98" t="str">
        <f t="shared" si="28"/>
        <v/>
      </c>
      <c r="E232" s="98">
        <f t="shared" si="29"/>
        <v>0</v>
      </c>
      <c r="G232" s="85"/>
      <c r="H232" s="85"/>
      <c r="I232" s="42"/>
      <c r="J232" s="104"/>
      <c r="K232" s="104"/>
      <c r="L232" s="71"/>
    </row>
    <row r="233" outlineLevel="2">
      <c r="A233" s="96" t="str">
        <f t="shared" si="26"/>
        <v/>
      </c>
      <c r="B233" s="98">
        <f t="shared" si="30"/>
        <v>0</v>
      </c>
      <c r="C233" s="97" t="str">
        <f t="shared" si="27"/>
        <v/>
      </c>
      <c r="D233" s="98" t="str">
        <f t="shared" si="28"/>
        <v/>
      </c>
      <c r="E233" s="98">
        <f t="shared" si="29"/>
        <v>0</v>
      </c>
      <c r="G233" s="85"/>
      <c r="H233" s="85"/>
      <c r="I233" s="42"/>
      <c r="J233" s="104"/>
      <c r="K233" s="104"/>
      <c r="L233" s="102"/>
    </row>
    <row r="234" outlineLevel="2">
      <c r="A234" s="96" t="str">
        <f t="shared" si="26"/>
        <v/>
      </c>
      <c r="B234" s="98">
        <f t="shared" si="30"/>
        <v>0</v>
      </c>
      <c r="C234" s="97" t="str">
        <f t="shared" si="27"/>
        <v/>
      </c>
      <c r="D234" s="98" t="str">
        <f t="shared" si="28"/>
        <v/>
      </c>
      <c r="E234" s="98">
        <f t="shared" si="29"/>
        <v>0</v>
      </c>
      <c r="G234" s="85"/>
      <c r="H234" s="85"/>
      <c r="I234" s="42"/>
      <c r="J234" s="104"/>
      <c r="K234" s="104"/>
      <c r="L234" s="102"/>
    </row>
    <row r="235" outlineLevel="2">
      <c r="A235" s="96" t="str">
        <f t="shared" si="26"/>
        <v/>
      </c>
      <c r="B235" s="98">
        <f t="shared" si="30"/>
        <v>0</v>
      </c>
      <c r="C235" s="97" t="str">
        <f t="shared" si="27"/>
        <v/>
      </c>
      <c r="D235" s="98" t="str">
        <f t="shared" si="28"/>
        <v/>
      </c>
      <c r="E235" s="98">
        <f t="shared" si="29"/>
        <v>0</v>
      </c>
      <c r="G235" s="85"/>
      <c r="H235" s="85"/>
      <c r="I235" s="42"/>
      <c r="J235" s="104"/>
      <c r="K235" s="104"/>
      <c r="L235" s="71"/>
    </row>
    <row r="236" outlineLevel="2">
      <c r="A236" s="96" t="str">
        <f t="shared" si="26"/>
        <v/>
      </c>
      <c r="B236" s="98">
        <f t="shared" si="30"/>
        <v>0</v>
      </c>
      <c r="C236" s="97" t="str">
        <f t="shared" si="27"/>
        <v/>
      </c>
      <c r="D236" s="98" t="str">
        <f t="shared" si="28"/>
        <v/>
      </c>
      <c r="E236" s="98">
        <f t="shared" si="29"/>
        <v>0</v>
      </c>
      <c r="G236" s="85"/>
      <c r="H236" s="85"/>
      <c r="I236" s="42"/>
      <c r="J236" s="104"/>
      <c r="K236" s="104"/>
      <c r="L236" s="102"/>
    </row>
    <row r="237" outlineLevel="2">
      <c r="A237" s="96" t="str">
        <f t="shared" si="26"/>
        <v/>
      </c>
      <c r="B237" s="98">
        <f t="shared" si="30"/>
        <v>0</v>
      </c>
      <c r="C237" s="97" t="str">
        <f t="shared" si="27"/>
        <v/>
      </c>
      <c r="D237" s="98" t="str">
        <f t="shared" si="28"/>
        <v/>
      </c>
      <c r="E237" s="98">
        <f t="shared" si="29"/>
        <v>0</v>
      </c>
      <c r="G237" s="85"/>
      <c r="H237" s="85"/>
      <c r="I237" s="42"/>
      <c r="J237" s="42"/>
      <c r="K237" s="42"/>
      <c r="L237" s="71"/>
    </row>
    <row r="238" outlineLevel="2">
      <c r="A238" s="96" t="str">
        <f t="shared" si="26"/>
        <v/>
      </c>
      <c r="B238" s="98">
        <f t="shared" si="30"/>
        <v>0</v>
      </c>
      <c r="C238" s="97" t="str">
        <f t="shared" si="27"/>
        <v/>
      </c>
      <c r="D238" s="98" t="str">
        <f t="shared" si="28"/>
        <v/>
      </c>
      <c r="E238" s="98">
        <f t="shared" si="29"/>
        <v>0</v>
      </c>
      <c r="G238" s="85"/>
      <c r="H238" s="85"/>
      <c r="I238" s="42"/>
      <c r="J238" s="104"/>
      <c r="K238" s="104"/>
      <c r="L238" s="71"/>
    </row>
    <row r="239" outlineLevel="2">
      <c r="A239" s="96" t="str">
        <f t="shared" si="26"/>
        <v/>
      </c>
      <c r="B239" s="98">
        <f t="shared" si="30"/>
        <v>0</v>
      </c>
      <c r="C239" s="97" t="str">
        <f t="shared" si="27"/>
        <v/>
      </c>
      <c r="D239" s="98" t="str">
        <f t="shared" si="28"/>
        <v/>
      </c>
      <c r="E239" s="98">
        <f t="shared" si="29"/>
        <v>0</v>
      </c>
      <c r="G239" s="85"/>
      <c r="H239" s="85"/>
      <c r="I239" s="42"/>
      <c r="J239" s="104"/>
      <c r="K239" s="104"/>
      <c r="L239" s="71"/>
    </row>
    <row r="240" outlineLevel="2">
      <c r="A240" s="96" t="str">
        <f t="shared" si="26"/>
        <v/>
      </c>
      <c r="B240" s="98">
        <f t="shared" si="30"/>
        <v>0</v>
      </c>
      <c r="C240" s="97" t="str">
        <f t="shared" si="27"/>
        <v/>
      </c>
      <c r="D240" s="98" t="str">
        <f t="shared" si="28"/>
        <v/>
      </c>
      <c r="E240" s="98">
        <f t="shared" si="29"/>
        <v>0</v>
      </c>
      <c r="G240" s="85"/>
      <c r="H240" s="85"/>
      <c r="I240" s="42"/>
      <c r="J240" s="104"/>
      <c r="K240" s="104"/>
      <c r="L240" s="71"/>
    </row>
    <row r="241" outlineLevel="2">
      <c r="A241" s="96" t="str">
        <f t="shared" si="26"/>
        <v/>
      </c>
      <c r="B241" s="98">
        <f t="shared" si="30"/>
        <v>0</v>
      </c>
      <c r="C241" s="97" t="str">
        <f t="shared" si="27"/>
        <v/>
      </c>
      <c r="D241" s="98" t="str">
        <f t="shared" si="28"/>
        <v/>
      </c>
      <c r="E241" s="98">
        <f t="shared" si="29"/>
        <v>0</v>
      </c>
      <c r="G241" s="85"/>
      <c r="H241" s="85"/>
      <c r="I241" s="42"/>
      <c r="J241" s="104"/>
      <c r="K241" s="104"/>
      <c r="L241" s="71"/>
    </row>
    <row r="242" outlineLevel="2">
      <c r="A242" s="96" t="str">
        <f t="shared" si="26"/>
        <v/>
      </c>
      <c r="B242" s="98">
        <f t="shared" si="30"/>
        <v>0</v>
      </c>
      <c r="C242" s="97" t="str">
        <f t="shared" si="27"/>
        <v/>
      </c>
      <c r="D242" s="98" t="str">
        <f t="shared" si="28"/>
        <v/>
      </c>
      <c r="E242" s="98">
        <f t="shared" si="29"/>
        <v>0</v>
      </c>
      <c r="G242" s="85"/>
      <c r="H242" s="85"/>
      <c r="I242" s="42"/>
      <c r="J242" s="104"/>
      <c r="K242" s="104"/>
      <c r="L242" s="102"/>
    </row>
    <row r="243" outlineLevel="2">
      <c r="A243" s="96" t="str">
        <f t="shared" si="26"/>
        <v/>
      </c>
      <c r="B243" s="98">
        <f t="shared" si="30"/>
        <v>0</v>
      </c>
      <c r="C243" s="97" t="str">
        <f t="shared" si="27"/>
        <v/>
      </c>
      <c r="D243" s="98" t="str">
        <f t="shared" si="28"/>
        <v/>
      </c>
      <c r="E243" s="98">
        <f t="shared" si="29"/>
        <v>0</v>
      </c>
      <c r="G243" s="85"/>
      <c r="H243" s="85"/>
      <c r="I243" s="42"/>
      <c r="J243" s="104"/>
      <c r="K243" s="104"/>
      <c r="L243" s="71"/>
    </row>
    <row r="244" outlineLevel="2">
      <c r="A244" s="96" t="str">
        <f t="shared" si="26"/>
        <v/>
      </c>
      <c r="B244" s="98">
        <f t="shared" si="30"/>
        <v>0</v>
      </c>
      <c r="C244" s="97" t="str">
        <f t="shared" si="27"/>
        <v/>
      </c>
      <c r="D244" s="98" t="str">
        <f t="shared" si="28"/>
        <v/>
      </c>
      <c r="E244" s="98">
        <f t="shared" si="29"/>
        <v>0</v>
      </c>
      <c r="G244" s="85"/>
      <c r="H244" s="85"/>
      <c r="I244" s="42"/>
      <c r="J244" s="104"/>
      <c r="K244" s="104"/>
      <c r="L244" s="102"/>
    </row>
    <row r="245" outlineLevel="2">
      <c r="A245" s="96" t="str">
        <f t="shared" si="26"/>
        <v/>
      </c>
      <c r="B245" s="98">
        <f t="shared" si="30"/>
        <v>0</v>
      </c>
      <c r="C245" s="97" t="str">
        <f t="shared" si="27"/>
        <v/>
      </c>
      <c r="D245" s="98" t="str">
        <f t="shared" si="28"/>
        <v/>
      </c>
      <c r="E245" s="98">
        <f t="shared" si="29"/>
        <v>0</v>
      </c>
      <c r="G245" s="85"/>
      <c r="H245" s="85"/>
      <c r="I245" s="42"/>
      <c r="J245" s="104"/>
      <c r="K245" s="104"/>
      <c r="L245" s="102"/>
    </row>
    <row r="246" outlineLevel="2">
      <c r="A246" s="96" t="str">
        <f t="shared" si="26"/>
        <v/>
      </c>
      <c r="B246" s="98">
        <f t="shared" si="30"/>
        <v>0</v>
      </c>
      <c r="C246" s="97" t="str">
        <f t="shared" si="27"/>
        <v/>
      </c>
      <c r="D246" s="98" t="str">
        <f t="shared" si="28"/>
        <v/>
      </c>
      <c r="E246" s="98">
        <f t="shared" si="29"/>
        <v>0</v>
      </c>
      <c r="G246" s="100"/>
      <c r="H246" s="100"/>
      <c r="I246" s="42"/>
      <c r="J246" s="42"/>
      <c r="K246" s="42"/>
      <c r="L246" s="71"/>
    </row>
    <row r="247" outlineLevel="2">
      <c r="A247" s="96" t="str">
        <f t="shared" si="26"/>
        <v/>
      </c>
      <c r="B247" s="98">
        <f t="shared" si="30"/>
        <v>0</v>
      </c>
      <c r="C247" s="97" t="str">
        <f t="shared" si="27"/>
        <v/>
      </c>
      <c r="D247" s="98" t="str">
        <f t="shared" si="28"/>
        <v/>
      </c>
      <c r="E247" s="98">
        <f t="shared" si="29"/>
        <v>0</v>
      </c>
      <c r="G247" s="100"/>
      <c r="H247" s="100"/>
      <c r="I247" s="101"/>
      <c r="J247" s="104"/>
      <c r="K247" s="104"/>
      <c r="L247" s="71"/>
    </row>
    <row r="248" outlineLevel="2">
      <c r="A248" s="96" t="str">
        <f t="shared" si="26"/>
        <v/>
      </c>
      <c r="B248" s="98">
        <f t="shared" si="30"/>
        <v>0</v>
      </c>
      <c r="C248" s="97" t="str">
        <f t="shared" si="27"/>
        <v/>
      </c>
      <c r="D248" s="98" t="str">
        <f t="shared" si="28"/>
        <v/>
      </c>
      <c r="E248" s="98">
        <f t="shared" si="29"/>
        <v>0</v>
      </c>
      <c r="G248" s="85"/>
      <c r="H248" s="100"/>
      <c r="I248" s="101"/>
      <c r="J248" s="104"/>
      <c r="K248" s="104"/>
      <c r="L248" s="71"/>
    </row>
    <row r="249" outlineLevel="2">
      <c r="A249" s="96" t="str">
        <f t="shared" si="26"/>
        <v/>
      </c>
      <c r="B249" s="98">
        <f t="shared" si="30"/>
        <v>0</v>
      </c>
      <c r="C249" s="97" t="str">
        <f t="shared" si="27"/>
        <v/>
      </c>
      <c r="D249" s="98" t="str">
        <f t="shared" si="28"/>
        <v/>
      </c>
      <c r="E249" s="98">
        <f t="shared" si="29"/>
        <v>0</v>
      </c>
      <c r="G249" s="85"/>
      <c r="H249" s="85"/>
      <c r="I249" s="42"/>
      <c r="J249" s="104"/>
      <c r="K249" s="104"/>
      <c r="L249" s="71"/>
    </row>
    <row r="250" outlineLevel="2">
      <c r="A250" s="96" t="str">
        <f t="shared" si="26"/>
        <v/>
      </c>
      <c r="B250" s="98">
        <f t="shared" si="30"/>
        <v>0</v>
      </c>
      <c r="C250" s="97" t="str">
        <f t="shared" si="27"/>
        <v/>
      </c>
      <c r="D250" s="98" t="str">
        <f t="shared" si="28"/>
        <v/>
      </c>
      <c r="E250" s="98">
        <f t="shared" si="29"/>
        <v>0</v>
      </c>
      <c r="G250" s="85"/>
      <c r="H250" s="85"/>
      <c r="I250" s="42"/>
      <c r="J250" s="104"/>
      <c r="K250" s="104"/>
      <c r="L250" s="71"/>
    </row>
    <row r="251" outlineLevel="2">
      <c r="A251" s="96" t="str">
        <f t="shared" si="26"/>
        <v/>
      </c>
      <c r="B251" s="98">
        <f t="shared" si="30"/>
        <v>0</v>
      </c>
      <c r="C251" s="97" t="str">
        <f t="shared" si="27"/>
        <v/>
      </c>
      <c r="D251" s="98" t="str">
        <f t="shared" si="28"/>
        <v/>
      </c>
      <c r="E251" s="98">
        <f t="shared" si="29"/>
        <v>0</v>
      </c>
      <c r="G251" s="85"/>
      <c r="H251" s="85"/>
      <c r="I251" s="42"/>
      <c r="J251" s="104"/>
      <c r="K251" s="104"/>
      <c r="L251" s="71"/>
    </row>
    <row r="252" outlineLevel="2">
      <c r="A252" s="96" t="str">
        <f t="shared" si="26"/>
        <v/>
      </c>
      <c r="B252" s="98">
        <f t="shared" si="30"/>
        <v>0</v>
      </c>
      <c r="C252" s="97" t="str">
        <f t="shared" si="27"/>
        <v/>
      </c>
      <c r="D252" s="98" t="str">
        <f t="shared" si="28"/>
        <v/>
      </c>
      <c r="E252" s="98">
        <f t="shared" si="29"/>
        <v>0</v>
      </c>
      <c r="G252" s="85"/>
      <c r="H252" s="85"/>
      <c r="I252" s="42"/>
      <c r="J252" s="104"/>
      <c r="K252" s="104"/>
      <c r="L252" s="102"/>
    </row>
    <row r="253" outlineLevel="2">
      <c r="A253" s="96" t="str">
        <f t="shared" si="26"/>
        <v/>
      </c>
      <c r="B253" s="98">
        <f t="shared" si="30"/>
        <v>0</v>
      </c>
      <c r="C253" s="97" t="str">
        <f t="shared" si="27"/>
        <v/>
      </c>
      <c r="D253" s="98" t="str">
        <f t="shared" si="28"/>
        <v/>
      </c>
      <c r="E253" s="98">
        <f t="shared" si="29"/>
        <v>0</v>
      </c>
      <c r="G253" s="85"/>
      <c r="H253" s="85"/>
      <c r="I253" s="42"/>
      <c r="J253" s="104"/>
      <c r="K253" s="104"/>
      <c r="L253" s="71"/>
    </row>
    <row r="254" outlineLevel="2">
      <c r="A254" s="96" t="str">
        <f t="shared" si="26"/>
        <v/>
      </c>
      <c r="B254" s="98">
        <f t="shared" si="30"/>
        <v>0</v>
      </c>
      <c r="C254" s="97" t="str">
        <f t="shared" si="27"/>
        <v/>
      </c>
      <c r="D254" s="98" t="str">
        <f t="shared" si="28"/>
        <v/>
      </c>
      <c r="E254" s="98">
        <f t="shared" si="29"/>
        <v>0</v>
      </c>
      <c r="G254" s="85"/>
      <c r="H254" s="85"/>
      <c r="I254" s="42"/>
      <c r="J254" s="104"/>
      <c r="K254" s="104"/>
      <c r="L254" s="71"/>
    </row>
    <row r="255" outlineLevel="2">
      <c r="A255" s="96" t="str">
        <f t="shared" si="26"/>
        <v/>
      </c>
      <c r="B255" s="98">
        <f t="shared" si="30"/>
        <v>0</v>
      </c>
      <c r="C255" s="97" t="str">
        <f t="shared" si="27"/>
        <v/>
      </c>
      <c r="D255" s="98" t="str">
        <f t="shared" si="28"/>
        <v/>
      </c>
      <c r="E255" s="98">
        <f t="shared" si="29"/>
        <v>0</v>
      </c>
      <c r="G255" s="85"/>
      <c r="H255" s="85"/>
      <c r="I255" s="42"/>
      <c r="J255" s="104"/>
      <c r="K255" s="104"/>
      <c r="L255" s="71"/>
    </row>
    <row r="256" outlineLevel="2">
      <c r="A256" s="96" t="str">
        <f t="shared" si="26"/>
        <v/>
      </c>
      <c r="B256" s="98">
        <f t="shared" si="30"/>
        <v>0</v>
      </c>
      <c r="C256" s="97" t="str">
        <f t="shared" si="27"/>
        <v/>
      </c>
      <c r="D256" s="98" t="str">
        <f t="shared" si="28"/>
        <v/>
      </c>
      <c r="E256" s="98">
        <f t="shared" si="29"/>
        <v>0</v>
      </c>
      <c r="G256" s="85"/>
      <c r="H256" s="85"/>
      <c r="I256" s="42"/>
      <c r="J256" s="104"/>
      <c r="K256" s="104"/>
      <c r="L256" s="71"/>
    </row>
    <row r="257" outlineLevel="2">
      <c r="A257" s="96" t="str">
        <f t="shared" si="26"/>
        <v/>
      </c>
      <c r="B257" s="98">
        <f t="shared" si="30"/>
        <v>0</v>
      </c>
      <c r="C257" s="97" t="str">
        <f t="shared" si="27"/>
        <v/>
      </c>
      <c r="D257" s="98" t="str">
        <f t="shared" si="28"/>
        <v/>
      </c>
      <c r="E257" s="98">
        <f t="shared" si="29"/>
        <v>0</v>
      </c>
      <c r="G257" s="85"/>
      <c r="H257" s="85"/>
      <c r="I257" s="42"/>
      <c r="J257" s="104"/>
      <c r="K257" s="104"/>
      <c r="L257" s="102"/>
    </row>
    <row r="258" outlineLevel="2">
      <c r="A258" s="96" t="str">
        <f t="shared" si="26"/>
        <v/>
      </c>
      <c r="B258" s="98">
        <f t="shared" si="30"/>
        <v>0</v>
      </c>
      <c r="C258" s="97" t="str">
        <f t="shared" si="27"/>
        <v/>
      </c>
      <c r="D258" s="98" t="str">
        <f t="shared" si="28"/>
        <v/>
      </c>
      <c r="E258" s="98">
        <f t="shared" si="29"/>
        <v>0</v>
      </c>
      <c r="G258" s="85"/>
      <c r="H258" s="85"/>
      <c r="I258" s="42"/>
      <c r="J258" s="104"/>
      <c r="K258" s="104"/>
      <c r="L258" s="102"/>
    </row>
    <row r="259" outlineLevel="2">
      <c r="A259" s="96" t="str">
        <f t="shared" si="26"/>
        <v/>
      </c>
      <c r="B259" s="98">
        <f t="shared" si="30"/>
        <v>0</v>
      </c>
      <c r="C259" s="97" t="str">
        <f t="shared" si="27"/>
        <v/>
      </c>
      <c r="D259" s="98" t="str">
        <f t="shared" si="28"/>
        <v/>
      </c>
      <c r="E259" s="98">
        <f t="shared" si="29"/>
        <v>0</v>
      </c>
      <c r="G259" s="85"/>
      <c r="H259" s="85"/>
      <c r="I259" s="42"/>
      <c r="J259" s="42"/>
      <c r="K259" s="42"/>
      <c r="L259" s="71"/>
    </row>
    <row r="260" outlineLevel="2">
      <c r="A260" s="39"/>
      <c r="B260" s="39"/>
      <c r="C260" s="39"/>
      <c r="D260" s="39"/>
      <c r="E260" s="39"/>
      <c r="F260" s="39" t="s">
        <v>153</v>
      </c>
      <c r="G260" s="51">
        <f>if(G208=TRUE,0,if(G207=FALSE,(SUM(B210:B259)+SUM(E210:E259)),999999))</f>
        <v>999999</v>
      </c>
      <c r="H260" s="76" t="s">
        <v>154</v>
      </c>
    </row>
    <row r="261" outlineLevel="2">
      <c r="A261" s="39"/>
      <c r="B261" s="39"/>
      <c r="C261" s="39"/>
      <c r="D261" s="39"/>
      <c r="E261" s="39"/>
      <c r="F261" s="39"/>
    </row>
    <row r="262" outlineLevel="1">
      <c r="A262" s="39"/>
      <c r="B262" s="39"/>
      <c r="C262" s="39"/>
      <c r="D262" s="39"/>
      <c r="E262" s="39"/>
      <c r="F262" s="39">
        <v>9.2</v>
      </c>
      <c r="G262" s="52" t="str">
        <f>if(G4="","TBD",hlookup(G4,'Scored Components + Weights'!1:17,10,FALSE))</f>
        <v>#REF!</v>
      </c>
      <c r="H262" s="53"/>
      <c r="I262" s="53"/>
      <c r="J262" s="53"/>
      <c r="K262" s="54"/>
      <c r="L262" s="71" t="s">
        <v>155</v>
      </c>
    </row>
    <row r="263" outlineLevel="2">
      <c r="A263" s="93"/>
      <c r="B263" s="94"/>
      <c r="C263" s="93"/>
      <c r="D263" s="93"/>
      <c r="E263" s="93"/>
      <c r="F263" s="39"/>
      <c r="G263" s="87" t="b">
        <v>0</v>
      </c>
      <c r="H263" s="87" t="s">
        <v>103</v>
      </c>
      <c r="L263" s="71" t="s">
        <v>156</v>
      </c>
    </row>
    <row r="264" outlineLevel="2">
      <c r="A264" s="93"/>
      <c r="B264" s="94"/>
      <c r="C264" s="93"/>
      <c r="D264" s="93"/>
      <c r="E264" s="93"/>
      <c r="F264" s="39"/>
      <c r="G264" s="87" t="b">
        <v>0</v>
      </c>
      <c r="H264" s="87" t="s">
        <v>105</v>
      </c>
      <c r="L264" s="71" t="s">
        <v>157</v>
      </c>
    </row>
    <row r="265" outlineLevel="2">
      <c r="A265" s="93" t="s">
        <v>74</v>
      </c>
      <c r="B265" s="94" t="s">
        <v>107</v>
      </c>
      <c r="C265" s="93" t="s">
        <v>108</v>
      </c>
      <c r="D265" s="93" t="s">
        <v>109</v>
      </c>
      <c r="E265" s="93" t="s">
        <v>110</v>
      </c>
      <c r="F265" s="39">
        <v>9.3</v>
      </c>
      <c r="G265" s="87" t="s">
        <v>111</v>
      </c>
      <c r="H265" s="87" t="s">
        <v>112</v>
      </c>
      <c r="I265" s="86" t="s">
        <v>113</v>
      </c>
      <c r="J265" s="95" t="s">
        <v>114</v>
      </c>
      <c r="K265" s="95" t="s">
        <v>115</v>
      </c>
      <c r="L265" s="71"/>
    </row>
    <row r="266" outlineLevel="2">
      <c r="A266" s="96" t="str">
        <f t="shared" ref="A266:A315" si="31">if(G266="","",vlookup(G266,Tools!$A$8:$E$177,5,FALSE))</f>
        <v>#REF!</v>
      </c>
      <c r="B266" s="94" t="s">
        <v>41</v>
      </c>
      <c r="C266" s="97" t="str">
        <f t="shared" ref="C266:C315" si="32">if(H266="","",vlookup(H266,'Actions + Proxy Times'!$A$3:$E$118,5,FALSE)*I266)</f>
        <v>#REF!</v>
      </c>
      <c r="D266" s="98" t="str">
        <f t="shared" ref="D266:D315" si="33">if(C266&gt;0,"",sum(J266:K266)*I266)</f>
        <v>#REF!</v>
      </c>
      <c r="E266" s="98" t="str">
        <f t="shared" ref="E266:E315" si="34">if(C266&gt;0,C266*A266,D266*A266)</f>
        <v>#REF!</v>
      </c>
      <c r="F266" s="39">
        <v>9.4</v>
      </c>
      <c r="G266" s="85" t="s">
        <v>116</v>
      </c>
      <c r="H266" s="85" t="s">
        <v>117</v>
      </c>
      <c r="I266" s="42">
        <v>1.0</v>
      </c>
      <c r="J266" s="42"/>
      <c r="K266" s="42"/>
      <c r="L266" s="71" t="s">
        <v>118</v>
      </c>
    </row>
    <row r="267" outlineLevel="2">
      <c r="A267" s="96" t="str">
        <f t="shared" si="31"/>
        <v>#REF!</v>
      </c>
      <c r="B267" s="98">
        <f t="shared" ref="B267:B315" si="35">if(G267="hand",0,if(G267=G266,0,1.44))</f>
        <v>1.44</v>
      </c>
      <c r="C267" s="97" t="str">
        <f t="shared" si="32"/>
        <v>#REF!</v>
      </c>
      <c r="D267" s="98" t="str">
        <f t="shared" si="33"/>
        <v>#REF!</v>
      </c>
      <c r="E267" s="98" t="str">
        <f t="shared" si="34"/>
        <v>#REF!</v>
      </c>
      <c r="G267" s="85" t="s">
        <v>119</v>
      </c>
      <c r="H267" s="85" t="s">
        <v>120</v>
      </c>
      <c r="I267" s="42">
        <v>4.0</v>
      </c>
      <c r="J267" s="42"/>
      <c r="K267" s="42"/>
      <c r="L267" s="71"/>
    </row>
    <row r="268" outlineLevel="2">
      <c r="A268" s="96" t="str">
        <f t="shared" si="31"/>
        <v>#REF!</v>
      </c>
      <c r="B268" s="98">
        <f t="shared" si="35"/>
        <v>0</v>
      </c>
      <c r="C268" s="97" t="str">
        <f t="shared" si="32"/>
        <v>#REF!</v>
      </c>
      <c r="D268" s="98" t="str">
        <f t="shared" si="33"/>
        <v>#REF!</v>
      </c>
      <c r="E268" s="98" t="str">
        <f t="shared" si="34"/>
        <v>#REF!</v>
      </c>
      <c r="G268" s="85" t="s">
        <v>116</v>
      </c>
      <c r="H268" s="85" t="s">
        <v>117</v>
      </c>
      <c r="I268" s="42">
        <v>1.0</v>
      </c>
      <c r="J268" s="42"/>
      <c r="K268" s="42"/>
      <c r="L268" s="71" t="s">
        <v>121</v>
      </c>
    </row>
    <row r="269" outlineLevel="2">
      <c r="A269" s="96" t="str">
        <f t="shared" si="31"/>
        <v>#REF!</v>
      </c>
      <c r="B269" s="98">
        <f t="shared" si="35"/>
        <v>1.44</v>
      </c>
      <c r="C269" s="97" t="str">
        <f t="shared" si="32"/>
        <v>#REF!</v>
      </c>
      <c r="D269" s="98" t="str">
        <f t="shared" si="33"/>
        <v>#REF!</v>
      </c>
      <c r="E269" s="98" t="str">
        <f t="shared" si="34"/>
        <v>#REF!</v>
      </c>
      <c r="G269" s="85" t="s">
        <v>122</v>
      </c>
      <c r="H269" s="85" t="s">
        <v>123</v>
      </c>
      <c r="I269" s="42">
        <v>16.0</v>
      </c>
      <c r="J269" s="42"/>
      <c r="K269" s="42"/>
      <c r="L269" s="71"/>
    </row>
    <row r="270" outlineLevel="2">
      <c r="A270" s="96" t="str">
        <f t="shared" si="31"/>
        <v>#REF!</v>
      </c>
      <c r="B270" s="98">
        <f t="shared" si="35"/>
        <v>0</v>
      </c>
      <c r="C270" s="97" t="str">
        <f t="shared" si="32"/>
        <v>#REF!</v>
      </c>
      <c r="D270" s="98" t="str">
        <f t="shared" si="33"/>
        <v>#REF!</v>
      </c>
      <c r="E270" s="98" t="str">
        <f t="shared" si="34"/>
        <v>#REF!</v>
      </c>
      <c r="G270" s="85" t="s">
        <v>116</v>
      </c>
      <c r="H270" s="85" t="s">
        <v>117</v>
      </c>
      <c r="I270" s="42">
        <v>1.0</v>
      </c>
      <c r="J270" s="42"/>
      <c r="K270" s="42"/>
      <c r="L270" s="71" t="s">
        <v>124</v>
      </c>
    </row>
    <row r="271" outlineLevel="2">
      <c r="A271" s="96" t="str">
        <f t="shared" si="31"/>
        <v>#REF!</v>
      </c>
      <c r="B271" s="98">
        <f t="shared" si="35"/>
        <v>0</v>
      </c>
      <c r="C271" s="97" t="str">
        <f t="shared" si="32"/>
        <v>#REF!</v>
      </c>
      <c r="D271" s="98" t="str">
        <f t="shared" si="33"/>
        <v>#REF!</v>
      </c>
      <c r="E271" s="98" t="str">
        <f t="shared" si="34"/>
        <v>#REF!</v>
      </c>
      <c r="G271" s="85" t="s">
        <v>116</v>
      </c>
      <c r="H271" s="85" t="s">
        <v>117</v>
      </c>
      <c r="I271" s="42">
        <v>1.0</v>
      </c>
      <c r="J271" s="42"/>
      <c r="K271" s="42"/>
      <c r="L271" s="71" t="s">
        <v>125</v>
      </c>
    </row>
    <row r="272" outlineLevel="2">
      <c r="A272" s="96" t="str">
        <f t="shared" si="31"/>
        <v>#REF!</v>
      </c>
      <c r="B272" s="98">
        <f t="shared" si="35"/>
        <v>1.44</v>
      </c>
      <c r="C272" s="97" t="str">
        <f t="shared" si="32"/>
        <v>#REF!</v>
      </c>
      <c r="D272" s="98" t="str">
        <f t="shared" si="33"/>
        <v>#REF!</v>
      </c>
      <c r="E272" s="98" t="str">
        <f t="shared" si="34"/>
        <v>#REF!</v>
      </c>
      <c r="G272" s="85" t="s">
        <v>126</v>
      </c>
      <c r="H272" s="85" t="s">
        <v>127</v>
      </c>
      <c r="I272" s="42">
        <v>2.0</v>
      </c>
      <c r="J272" s="42"/>
      <c r="K272" s="42"/>
      <c r="L272" s="71"/>
    </row>
    <row r="273" outlineLevel="2">
      <c r="A273" s="96" t="str">
        <f t="shared" si="31"/>
        <v>#REF!</v>
      </c>
      <c r="B273" s="98">
        <f t="shared" si="35"/>
        <v>0</v>
      </c>
      <c r="C273" s="97" t="str">
        <f t="shared" si="32"/>
        <v>#REF!</v>
      </c>
      <c r="D273" s="98" t="str">
        <f t="shared" si="33"/>
        <v>#REF!</v>
      </c>
      <c r="E273" s="98" t="str">
        <f t="shared" si="34"/>
        <v>#REF!</v>
      </c>
      <c r="G273" s="85" t="s">
        <v>126</v>
      </c>
      <c r="H273" s="85" t="s">
        <v>128</v>
      </c>
      <c r="I273" s="42">
        <v>1.0</v>
      </c>
      <c r="J273" s="42"/>
      <c r="K273" s="42"/>
      <c r="L273" s="71" t="s">
        <v>129</v>
      </c>
    </row>
    <row r="274" outlineLevel="2">
      <c r="A274" s="96" t="str">
        <f t="shared" si="31"/>
        <v>#REF!</v>
      </c>
      <c r="B274" s="98">
        <f t="shared" si="35"/>
        <v>0</v>
      </c>
      <c r="C274" s="97" t="str">
        <f t="shared" si="32"/>
        <v>#REF!</v>
      </c>
      <c r="D274" s="98" t="str">
        <f t="shared" si="33"/>
        <v>#REF!</v>
      </c>
      <c r="E274" s="98" t="str">
        <f t="shared" si="34"/>
        <v>#REF!</v>
      </c>
      <c r="G274" s="85" t="s">
        <v>126</v>
      </c>
      <c r="H274" s="85" t="s">
        <v>130</v>
      </c>
      <c r="I274" s="42">
        <v>1.0</v>
      </c>
      <c r="J274" s="42"/>
      <c r="K274" s="42"/>
      <c r="L274" s="71" t="s">
        <v>131</v>
      </c>
    </row>
    <row r="275" outlineLevel="2">
      <c r="A275" s="96" t="str">
        <f t="shared" si="31"/>
        <v>#REF!</v>
      </c>
      <c r="B275" s="98">
        <f t="shared" si="35"/>
        <v>0</v>
      </c>
      <c r="C275" s="97" t="str">
        <f t="shared" si="32"/>
        <v>#REF!</v>
      </c>
      <c r="D275" s="98" t="str">
        <f t="shared" si="33"/>
        <v>#REF!</v>
      </c>
      <c r="E275" s="98" t="str">
        <f t="shared" si="34"/>
        <v>#REF!</v>
      </c>
      <c r="G275" s="85" t="s">
        <v>126</v>
      </c>
      <c r="H275" s="85" t="s">
        <v>132</v>
      </c>
      <c r="I275" s="42">
        <v>1.0</v>
      </c>
      <c r="J275" s="42"/>
      <c r="K275" s="42"/>
      <c r="L275" s="71"/>
    </row>
    <row r="276" outlineLevel="2">
      <c r="A276" s="96" t="str">
        <f t="shared" si="31"/>
        <v>#REF!</v>
      </c>
      <c r="B276" s="98">
        <f t="shared" si="35"/>
        <v>0</v>
      </c>
      <c r="C276" s="97" t="str">
        <f t="shared" si="32"/>
        <v>#REF!</v>
      </c>
      <c r="D276" s="98" t="str">
        <f t="shared" si="33"/>
        <v>#REF!</v>
      </c>
      <c r="E276" s="98" t="str">
        <f t="shared" si="34"/>
        <v>#REF!</v>
      </c>
      <c r="G276" s="85" t="s">
        <v>126</v>
      </c>
      <c r="H276" s="85" t="s">
        <v>133</v>
      </c>
      <c r="I276" s="42">
        <v>1.0</v>
      </c>
      <c r="J276" s="42"/>
      <c r="K276" s="42"/>
      <c r="L276" s="71" t="s">
        <v>134</v>
      </c>
    </row>
    <row r="277" outlineLevel="2">
      <c r="A277" s="96" t="str">
        <f t="shared" si="31"/>
        <v>#REF!</v>
      </c>
      <c r="B277" s="98">
        <f t="shared" si="35"/>
        <v>0</v>
      </c>
      <c r="C277" s="97" t="str">
        <f t="shared" si="32"/>
        <v>#REF!</v>
      </c>
      <c r="D277" s="98" t="str">
        <f t="shared" si="33"/>
        <v>#REF!</v>
      </c>
      <c r="E277" s="98" t="str">
        <f t="shared" si="34"/>
        <v>#REF!</v>
      </c>
      <c r="G277" s="85" t="s">
        <v>116</v>
      </c>
      <c r="H277" s="85" t="s">
        <v>135</v>
      </c>
      <c r="I277" s="42">
        <v>1.0</v>
      </c>
      <c r="J277" s="42"/>
      <c r="K277" s="42"/>
      <c r="L277" s="99" t="s">
        <v>136</v>
      </c>
    </row>
    <row r="278" outlineLevel="2">
      <c r="A278" s="96" t="str">
        <f t="shared" si="31"/>
        <v>#REF!</v>
      </c>
      <c r="B278" s="98">
        <f t="shared" si="35"/>
        <v>1.44</v>
      </c>
      <c r="C278" s="97" t="str">
        <f t="shared" si="32"/>
        <v>#REF!</v>
      </c>
      <c r="D278" s="98" t="str">
        <f t="shared" si="33"/>
        <v>#REF!</v>
      </c>
      <c r="E278" s="98" t="str">
        <f t="shared" si="34"/>
        <v>#REF!</v>
      </c>
      <c r="G278" s="85" t="s">
        <v>158</v>
      </c>
      <c r="H278" s="85" t="s">
        <v>128</v>
      </c>
      <c r="I278" s="42">
        <v>1.0</v>
      </c>
      <c r="J278" s="42"/>
      <c r="K278" s="42"/>
      <c r="L278" s="71" t="s">
        <v>159</v>
      </c>
    </row>
    <row r="279" outlineLevel="2">
      <c r="A279" s="96" t="str">
        <f t="shared" si="31"/>
        <v>#REF!</v>
      </c>
      <c r="B279" s="98">
        <f t="shared" si="35"/>
        <v>0</v>
      </c>
      <c r="C279" s="97" t="str">
        <f t="shared" si="32"/>
        <v>#REF!</v>
      </c>
      <c r="D279" s="98" t="str">
        <f t="shared" si="33"/>
        <v>#REF!</v>
      </c>
      <c r="E279" s="98" t="str">
        <f t="shared" si="34"/>
        <v>#REF!</v>
      </c>
      <c r="G279" s="85" t="s">
        <v>158</v>
      </c>
      <c r="H279" s="85" t="s">
        <v>160</v>
      </c>
      <c r="I279" s="42">
        <v>2.0</v>
      </c>
      <c r="J279" s="104"/>
      <c r="K279" s="104"/>
      <c r="L279" s="71" t="s">
        <v>161</v>
      </c>
    </row>
    <row r="280" outlineLevel="2">
      <c r="A280" s="96" t="str">
        <f t="shared" si="31"/>
        <v>#REF!</v>
      </c>
      <c r="B280" s="98">
        <f t="shared" si="35"/>
        <v>0</v>
      </c>
      <c r="C280" s="97" t="str">
        <f t="shared" si="32"/>
        <v>#REF!</v>
      </c>
      <c r="D280" s="98" t="str">
        <f t="shared" si="33"/>
        <v>#REF!</v>
      </c>
      <c r="E280" s="98" t="str">
        <f t="shared" si="34"/>
        <v>#REF!</v>
      </c>
      <c r="G280" s="85" t="s">
        <v>158</v>
      </c>
      <c r="H280" s="85" t="s">
        <v>132</v>
      </c>
      <c r="I280" s="42">
        <v>1.0</v>
      </c>
      <c r="J280" s="104"/>
      <c r="K280" s="104"/>
      <c r="L280" s="71"/>
    </row>
    <row r="281" outlineLevel="2">
      <c r="A281" s="96" t="str">
        <f t="shared" si="31"/>
        <v>#REF!</v>
      </c>
      <c r="B281" s="98">
        <f t="shared" si="35"/>
        <v>1.44</v>
      </c>
      <c r="C281" s="97" t="str">
        <f t="shared" si="32"/>
        <v>#REF!</v>
      </c>
      <c r="D281" s="98" t="str">
        <f t="shared" si="33"/>
        <v>#REF!</v>
      </c>
      <c r="E281" s="98" t="str">
        <f t="shared" si="34"/>
        <v>#REF!</v>
      </c>
      <c r="G281" s="85" t="s">
        <v>126</v>
      </c>
      <c r="H281" s="85" t="s">
        <v>117</v>
      </c>
      <c r="I281" s="42">
        <v>1.0</v>
      </c>
      <c r="J281" s="104"/>
      <c r="K281" s="104"/>
      <c r="L281" s="99" t="s">
        <v>162</v>
      </c>
    </row>
    <row r="282" outlineLevel="2">
      <c r="A282" s="96" t="str">
        <f t="shared" si="31"/>
        <v/>
      </c>
      <c r="B282" s="98">
        <f t="shared" si="35"/>
        <v>1.44</v>
      </c>
      <c r="C282" s="97" t="str">
        <f t="shared" si="32"/>
        <v/>
      </c>
      <c r="D282" s="98" t="str">
        <f t="shared" si="33"/>
        <v/>
      </c>
      <c r="E282" s="98">
        <f t="shared" si="34"/>
        <v>0</v>
      </c>
      <c r="G282" s="85"/>
      <c r="H282" s="85"/>
      <c r="I282" s="42"/>
      <c r="J282" s="104"/>
      <c r="K282" s="104"/>
      <c r="L282" s="71"/>
    </row>
    <row r="283" outlineLevel="2">
      <c r="A283" s="96" t="str">
        <f t="shared" si="31"/>
        <v/>
      </c>
      <c r="B283" s="98">
        <f t="shared" si="35"/>
        <v>0</v>
      </c>
      <c r="C283" s="97" t="str">
        <f t="shared" si="32"/>
        <v/>
      </c>
      <c r="D283" s="98" t="str">
        <f t="shared" si="33"/>
        <v/>
      </c>
      <c r="E283" s="98">
        <f t="shared" si="34"/>
        <v>0</v>
      </c>
      <c r="G283" s="85"/>
      <c r="H283" s="85"/>
      <c r="I283" s="42"/>
      <c r="J283" s="104"/>
      <c r="K283" s="104"/>
      <c r="L283" s="71"/>
    </row>
    <row r="284" outlineLevel="2">
      <c r="A284" s="96" t="str">
        <f t="shared" si="31"/>
        <v/>
      </c>
      <c r="B284" s="98">
        <f t="shared" si="35"/>
        <v>0</v>
      </c>
      <c r="C284" s="97" t="str">
        <f t="shared" si="32"/>
        <v/>
      </c>
      <c r="D284" s="98" t="str">
        <f t="shared" si="33"/>
        <v/>
      </c>
      <c r="E284" s="98">
        <f t="shared" si="34"/>
        <v>0</v>
      </c>
      <c r="G284" s="85"/>
      <c r="H284" s="85"/>
      <c r="I284" s="42"/>
      <c r="J284" s="104"/>
      <c r="K284" s="104"/>
      <c r="L284" s="102"/>
    </row>
    <row r="285" outlineLevel="2">
      <c r="A285" s="96" t="str">
        <f t="shared" si="31"/>
        <v/>
      </c>
      <c r="B285" s="98">
        <f t="shared" si="35"/>
        <v>0</v>
      </c>
      <c r="C285" s="97" t="str">
        <f t="shared" si="32"/>
        <v/>
      </c>
      <c r="D285" s="98" t="str">
        <f t="shared" si="33"/>
        <v/>
      </c>
      <c r="E285" s="98">
        <f t="shared" si="34"/>
        <v>0</v>
      </c>
      <c r="G285" s="85"/>
      <c r="H285" s="85"/>
      <c r="I285" s="42"/>
      <c r="J285" s="104"/>
      <c r="K285" s="104"/>
      <c r="L285" s="71"/>
    </row>
    <row r="286" outlineLevel="2">
      <c r="A286" s="96" t="str">
        <f t="shared" si="31"/>
        <v/>
      </c>
      <c r="B286" s="98">
        <f t="shared" si="35"/>
        <v>0</v>
      </c>
      <c r="C286" s="97" t="str">
        <f t="shared" si="32"/>
        <v/>
      </c>
      <c r="D286" s="98" t="str">
        <f t="shared" si="33"/>
        <v/>
      </c>
      <c r="E286" s="98">
        <f t="shared" si="34"/>
        <v>0</v>
      </c>
      <c r="G286" s="85"/>
      <c r="H286" s="85"/>
      <c r="I286" s="42"/>
      <c r="J286" s="104"/>
      <c r="K286" s="104"/>
      <c r="L286" s="71"/>
    </row>
    <row r="287" outlineLevel="2">
      <c r="A287" s="96" t="str">
        <f t="shared" si="31"/>
        <v/>
      </c>
      <c r="B287" s="98">
        <f t="shared" si="35"/>
        <v>0</v>
      </c>
      <c r="C287" s="97" t="str">
        <f t="shared" si="32"/>
        <v/>
      </c>
      <c r="D287" s="98" t="str">
        <f t="shared" si="33"/>
        <v/>
      </c>
      <c r="E287" s="98">
        <f t="shared" si="34"/>
        <v>0</v>
      </c>
      <c r="G287" s="85"/>
      <c r="H287" s="85"/>
      <c r="I287" s="42"/>
      <c r="J287" s="104"/>
      <c r="K287" s="104"/>
      <c r="L287" s="71"/>
    </row>
    <row r="288" outlineLevel="2">
      <c r="A288" s="96" t="str">
        <f t="shared" si="31"/>
        <v/>
      </c>
      <c r="B288" s="98">
        <f t="shared" si="35"/>
        <v>0</v>
      </c>
      <c r="C288" s="97" t="str">
        <f t="shared" si="32"/>
        <v/>
      </c>
      <c r="D288" s="98" t="str">
        <f t="shared" si="33"/>
        <v/>
      </c>
      <c r="E288" s="98">
        <f t="shared" si="34"/>
        <v>0</v>
      </c>
      <c r="G288" s="85"/>
      <c r="H288" s="85"/>
      <c r="I288" s="42"/>
      <c r="J288" s="104"/>
      <c r="K288" s="104"/>
      <c r="L288" s="71"/>
    </row>
    <row r="289" outlineLevel="2">
      <c r="A289" s="96" t="str">
        <f t="shared" si="31"/>
        <v/>
      </c>
      <c r="B289" s="98">
        <f t="shared" si="35"/>
        <v>0</v>
      </c>
      <c r="C289" s="97" t="str">
        <f t="shared" si="32"/>
        <v/>
      </c>
      <c r="D289" s="98" t="str">
        <f t="shared" si="33"/>
        <v/>
      </c>
      <c r="E289" s="98">
        <f t="shared" si="34"/>
        <v>0</v>
      </c>
      <c r="G289" s="85"/>
      <c r="H289" s="85"/>
      <c r="I289" s="42"/>
      <c r="J289" s="104"/>
      <c r="K289" s="104"/>
      <c r="L289" s="102"/>
    </row>
    <row r="290" outlineLevel="2">
      <c r="A290" s="96" t="str">
        <f t="shared" si="31"/>
        <v/>
      </c>
      <c r="B290" s="98">
        <f t="shared" si="35"/>
        <v>0</v>
      </c>
      <c r="C290" s="97" t="str">
        <f t="shared" si="32"/>
        <v/>
      </c>
      <c r="D290" s="98" t="str">
        <f t="shared" si="33"/>
        <v/>
      </c>
      <c r="E290" s="98">
        <f t="shared" si="34"/>
        <v>0</v>
      </c>
      <c r="G290" s="85"/>
      <c r="H290" s="85"/>
      <c r="I290" s="42"/>
      <c r="J290" s="104"/>
      <c r="K290" s="104"/>
      <c r="L290" s="102"/>
    </row>
    <row r="291" outlineLevel="2">
      <c r="A291" s="96" t="str">
        <f t="shared" si="31"/>
        <v/>
      </c>
      <c r="B291" s="98">
        <f t="shared" si="35"/>
        <v>0</v>
      </c>
      <c r="C291" s="97" t="str">
        <f t="shared" si="32"/>
        <v/>
      </c>
      <c r="D291" s="98" t="str">
        <f t="shared" si="33"/>
        <v/>
      </c>
      <c r="E291" s="98">
        <f t="shared" si="34"/>
        <v>0</v>
      </c>
      <c r="G291" s="85"/>
      <c r="H291" s="85"/>
      <c r="I291" s="42"/>
      <c r="J291" s="104"/>
      <c r="K291" s="104"/>
      <c r="L291" s="71"/>
    </row>
    <row r="292" outlineLevel="2">
      <c r="A292" s="96" t="str">
        <f t="shared" si="31"/>
        <v/>
      </c>
      <c r="B292" s="98">
        <f t="shared" si="35"/>
        <v>0</v>
      </c>
      <c r="C292" s="97" t="str">
        <f t="shared" si="32"/>
        <v/>
      </c>
      <c r="D292" s="98" t="str">
        <f t="shared" si="33"/>
        <v/>
      </c>
      <c r="E292" s="98">
        <f t="shared" si="34"/>
        <v>0</v>
      </c>
      <c r="G292" s="85"/>
      <c r="H292" s="85"/>
      <c r="I292" s="42"/>
      <c r="J292" s="104"/>
      <c r="K292" s="104"/>
      <c r="L292" s="102"/>
    </row>
    <row r="293" outlineLevel="2">
      <c r="A293" s="96" t="str">
        <f t="shared" si="31"/>
        <v/>
      </c>
      <c r="B293" s="98">
        <f t="shared" si="35"/>
        <v>0</v>
      </c>
      <c r="C293" s="97" t="str">
        <f t="shared" si="32"/>
        <v/>
      </c>
      <c r="D293" s="98" t="str">
        <f t="shared" si="33"/>
        <v/>
      </c>
      <c r="E293" s="98">
        <f t="shared" si="34"/>
        <v>0</v>
      </c>
      <c r="G293" s="85"/>
      <c r="H293" s="85"/>
      <c r="I293" s="42"/>
      <c r="J293" s="42"/>
      <c r="K293" s="42"/>
      <c r="L293" s="71"/>
    </row>
    <row r="294" outlineLevel="2">
      <c r="A294" s="96" t="str">
        <f t="shared" si="31"/>
        <v/>
      </c>
      <c r="B294" s="98">
        <f t="shared" si="35"/>
        <v>0</v>
      </c>
      <c r="C294" s="97" t="str">
        <f t="shared" si="32"/>
        <v/>
      </c>
      <c r="D294" s="98" t="str">
        <f t="shared" si="33"/>
        <v/>
      </c>
      <c r="E294" s="98">
        <f t="shared" si="34"/>
        <v>0</v>
      </c>
      <c r="G294" s="85"/>
      <c r="H294" s="85"/>
      <c r="I294" s="42"/>
      <c r="J294" s="104"/>
      <c r="K294" s="104"/>
      <c r="L294" s="71"/>
    </row>
    <row r="295" outlineLevel="2">
      <c r="A295" s="96" t="str">
        <f t="shared" si="31"/>
        <v/>
      </c>
      <c r="B295" s="98">
        <f t="shared" si="35"/>
        <v>0</v>
      </c>
      <c r="C295" s="97" t="str">
        <f t="shared" si="32"/>
        <v/>
      </c>
      <c r="D295" s="98" t="str">
        <f t="shared" si="33"/>
        <v/>
      </c>
      <c r="E295" s="98">
        <f t="shared" si="34"/>
        <v>0</v>
      </c>
      <c r="G295" s="85"/>
      <c r="H295" s="85"/>
      <c r="I295" s="42"/>
      <c r="J295" s="104"/>
      <c r="K295" s="104"/>
      <c r="L295" s="71"/>
    </row>
    <row r="296" outlineLevel="2">
      <c r="A296" s="96" t="str">
        <f t="shared" si="31"/>
        <v/>
      </c>
      <c r="B296" s="98">
        <f t="shared" si="35"/>
        <v>0</v>
      </c>
      <c r="C296" s="97" t="str">
        <f t="shared" si="32"/>
        <v/>
      </c>
      <c r="D296" s="98" t="str">
        <f t="shared" si="33"/>
        <v/>
      </c>
      <c r="E296" s="98">
        <f t="shared" si="34"/>
        <v>0</v>
      </c>
      <c r="G296" s="85"/>
      <c r="H296" s="85"/>
      <c r="I296" s="42"/>
      <c r="J296" s="104"/>
      <c r="K296" s="104"/>
      <c r="L296" s="71"/>
    </row>
    <row r="297" outlineLevel="2">
      <c r="A297" s="96" t="str">
        <f t="shared" si="31"/>
        <v/>
      </c>
      <c r="B297" s="98">
        <f t="shared" si="35"/>
        <v>0</v>
      </c>
      <c r="C297" s="97" t="str">
        <f t="shared" si="32"/>
        <v/>
      </c>
      <c r="D297" s="98" t="str">
        <f t="shared" si="33"/>
        <v/>
      </c>
      <c r="E297" s="98">
        <f t="shared" si="34"/>
        <v>0</v>
      </c>
      <c r="G297" s="85"/>
      <c r="H297" s="85"/>
      <c r="I297" s="42"/>
      <c r="J297" s="104"/>
      <c r="K297" s="104"/>
      <c r="L297" s="71"/>
    </row>
    <row r="298" outlineLevel="2">
      <c r="A298" s="96" t="str">
        <f t="shared" si="31"/>
        <v/>
      </c>
      <c r="B298" s="98">
        <f t="shared" si="35"/>
        <v>0</v>
      </c>
      <c r="C298" s="97" t="str">
        <f t="shared" si="32"/>
        <v/>
      </c>
      <c r="D298" s="98" t="str">
        <f t="shared" si="33"/>
        <v/>
      </c>
      <c r="E298" s="98">
        <f t="shared" si="34"/>
        <v>0</v>
      </c>
      <c r="G298" s="85"/>
      <c r="H298" s="85"/>
      <c r="I298" s="42"/>
      <c r="J298" s="104"/>
      <c r="K298" s="104"/>
      <c r="L298" s="102"/>
    </row>
    <row r="299" outlineLevel="2">
      <c r="A299" s="96" t="str">
        <f t="shared" si="31"/>
        <v/>
      </c>
      <c r="B299" s="98">
        <f t="shared" si="35"/>
        <v>0</v>
      </c>
      <c r="C299" s="97" t="str">
        <f t="shared" si="32"/>
        <v/>
      </c>
      <c r="D299" s="98" t="str">
        <f t="shared" si="33"/>
        <v/>
      </c>
      <c r="E299" s="98">
        <f t="shared" si="34"/>
        <v>0</v>
      </c>
      <c r="G299" s="85"/>
      <c r="H299" s="85"/>
      <c r="I299" s="42"/>
      <c r="J299" s="104"/>
      <c r="K299" s="104"/>
      <c r="L299" s="71"/>
    </row>
    <row r="300" outlineLevel="2">
      <c r="A300" s="96" t="str">
        <f t="shared" si="31"/>
        <v/>
      </c>
      <c r="B300" s="98">
        <f t="shared" si="35"/>
        <v>0</v>
      </c>
      <c r="C300" s="97" t="str">
        <f t="shared" si="32"/>
        <v/>
      </c>
      <c r="D300" s="98" t="str">
        <f t="shared" si="33"/>
        <v/>
      </c>
      <c r="E300" s="98">
        <f t="shared" si="34"/>
        <v>0</v>
      </c>
      <c r="G300" s="85"/>
      <c r="H300" s="85"/>
      <c r="I300" s="42"/>
      <c r="J300" s="104"/>
      <c r="K300" s="104"/>
      <c r="L300" s="102"/>
    </row>
    <row r="301" outlineLevel="2">
      <c r="A301" s="96" t="str">
        <f t="shared" si="31"/>
        <v/>
      </c>
      <c r="B301" s="98">
        <f t="shared" si="35"/>
        <v>0</v>
      </c>
      <c r="C301" s="97" t="str">
        <f t="shared" si="32"/>
        <v/>
      </c>
      <c r="D301" s="98" t="str">
        <f t="shared" si="33"/>
        <v/>
      </c>
      <c r="E301" s="98">
        <f t="shared" si="34"/>
        <v>0</v>
      </c>
      <c r="G301" s="85"/>
      <c r="H301" s="85"/>
      <c r="I301" s="42"/>
      <c r="J301" s="104"/>
      <c r="K301" s="104"/>
      <c r="L301" s="102"/>
    </row>
    <row r="302" outlineLevel="2">
      <c r="A302" s="96" t="str">
        <f t="shared" si="31"/>
        <v/>
      </c>
      <c r="B302" s="98">
        <f t="shared" si="35"/>
        <v>0</v>
      </c>
      <c r="C302" s="97" t="str">
        <f t="shared" si="32"/>
        <v/>
      </c>
      <c r="D302" s="98" t="str">
        <f t="shared" si="33"/>
        <v/>
      </c>
      <c r="E302" s="98">
        <f t="shared" si="34"/>
        <v>0</v>
      </c>
      <c r="G302" s="100"/>
      <c r="H302" s="100"/>
      <c r="I302" s="42"/>
      <c r="J302" s="42"/>
      <c r="K302" s="42"/>
      <c r="L302" s="71"/>
    </row>
    <row r="303" outlineLevel="2">
      <c r="A303" s="96" t="str">
        <f t="shared" si="31"/>
        <v/>
      </c>
      <c r="B303" s="98">
        <f t="shared" si="35"/>
        <v>0</v>
      </c>
      <c r="C303" s="97" t="str">
        <f t="shared" si="32"/>
        <v/>
      </c>
      <c r="D303" s="98" t="str">
        <f t="shared" si="33"/>
        <v/>
      </c>
      <c r="E303" s="98">
        <f t="shared" si="34"/>
        <v>0</v>
      </c>
      <c r="G303" s="100"/>
      <c r="H303" s="100"/>
      <c r="I303" s="101"/>
      <c r="J303" s="104"/>
      <c r="K303" s="104"/>
      <c r="L303" s="71"/>
    </row>
    <row r="304" outlineLevel="2">
      <c r="A304" s="96" t="str">
        <f t="shared" si="31"/>
        <v/>
      </c>
      <c r="B304" s="98">
        <f t="shared" si="35"/>
        <v>0</v>
      </c>
      <c r="C304" s="97" t="str">
        <f t="shared" si="32"/>
        <v/>
      </c>
      <c r="D304" s="98" t="str">
        <f t="shared" si="33"/>
        <v/>
      </c>
      <c r="E304" s="98">
        <f t="shared" si="34"/>
        <v>0</v>
      </c>
      <c r="G304" s="85"/>
      <c r="H304" s="100"/>
      <c r="I304" s="101"/>
      <c r="J304" s="104"/>
      <c r="K304" s="104"/>
      <c r="L304" s="71"/>
    </row>
    <row r="305" outlineLevel="2">
      <c r="A305" s="96" t="str">
        <f t="shared" si="31"/>
        <v/>
      </c>
      <c r="B305" s="98">
        <f t="shared" si="35"/>
        <v>0</v>
      </c>
      <c r="C305" s="97" t="str">
        <f t="shared" si="32"/>
        <v/>
      </c>
      <c r="D305" s="98" t="str">
        <f t="shared" si="33"/>
        <v/>
      </c>
      <c r="E305" s="98">
        <f t="shared" si="34"/>
        <v>0</v>
      </c>
      <c r="G305" s="85"/>
      <c r="H305" s="85"/>
      <c r="I305" s="42"/>
      <c r="J305" s="104"/>
      <c r="K305" s="104"/>
      <c r="L305" s="71"/>
    </row>
    <row r="306" outlineLevel="2">
      <c r="A306" s="96" t="str">
        <f t="shared" si="31"/>
        <v/>
      </c>
      <c r="B306" s="98">
        <f t="shared" si="35"/>
        <v>0</v>
      </c>
      <c r="C306" s="97" t="str">
        <f t="shared" si="32"/>
        <v/>
      </c>
      <c r="D306" s="98" t="str">
        <f t="shared" si="33"/>
        <v/>
      </c>
      <c r="E306" s="98">
        <f t="shared" si="34"/>
        <v>0</v>
      </c>
      <c r="G306" s="85"/>
      <c r="H306" s="85"/>
      <c r="I306" s="42"/>
      <c r="J306" s="104"/>
      <c r="K306" s="104"/>
      <c r="L306" s="71"/>
    </row>
    <row r="307" outlineLevel="2">
      <c r="A307" s="96" t="str">
        <f t="shared" si="31"/>
        <v/>
      </c>
      <c r="B307" s="98">
        <f t="shared" si="35"/>
        <v>0</v>
      </c>
      <c r="C307" s="97" t="str">
        <f t="shared" si="32"/>
        <v/>
      </c>
      <c r="D307" s="98" t="str">
        <f t="shared" si="33"/>
        <v/>
      </c>
      <c r="E307" s="98">
        <f t="shared" si="34"/>
        <v>0</v>
      </c>
      <c r="G307" s="85"/>
      <c r="H307" s="85"/>
      <c r="I307" s="42"/>
      <c r="J307" s="104"/>
      <c r="K307" s="104"/>
      <c r="L307" s="71"/>
    </row>
    <row r="308" outlineLevel="2">
      <c r="A308" s="96" t="str">
        <f t="shared" si="31"/>
        <v/>
      </c>
      <c r="B308" s="98">
        <f t="shared" si="35"/>
        <v>0</v>
      </c>
      <c r="C308" s="97" t="str">
        <f t="shared" si="32"/>
        <v/>
      </c>
      <c r="D308" s="98" t="str">
        <f t="shared" si="33"/>
        <v/>
      </c>
      <c r="E308" s="98">
        <f t="shared" si="34"/>
        <v>0</v>
      </c>
      <c r="G308" s="85"/>
      <c r="H308" s="85"/>
      <c r="I308" s="42"/>
      <c r="J308" s="104"/>
      <c r="K308" s="104"/>
      <c r="L308" s="102"/>
    </row>
    <row r="309" outlineLevel="2">
      <c r="A309" s="96" t="str">
        <f t="shared" si="31"/>
        <v/>
      </c>
      <c r="B309" s="98">
        <f t="shared" si="35"/>
        <v>0</v>
      </c>
      <c r="C309" s="97" t="str">
        <f t="shared" si="32"/>
        <v/>
      </c>
      <c r="D309" s="98" t="str">
        <f t="shared" si="33"/>
        <v/>
      </c>
      <c r="E309" s="98">
        <f t="shared" si="34"/>
        <v>0</v>
      </c>
      <c r="G309" s="85"/>
      <c r="H309" s="85"/>
      <c r="I309" s="42"/>
      <c r="J309" s="104"/>
      <c r="K309" s="104"/>
      <c r="L309" s="71"/>
    </row>
    <row r="310" outlineLevel="2">
      <c r="A310" s="96" t="str">
        <f t="shared" si="31"/>
        <v/>
      </c>
      <c r="B310" s="98">
        <f t="shared" si="35"/>
        <v>0</v>
      </c>
      <c r="C310" s="97" t="str">
        <f t="shared" si="32"/>
        <v/>
      </c>
      <c r="D310" s="98" t="str">
        <f t="shared" si="33"/>
        <v/>
      </c>
      <c r="E310" s="98">
        <f t="shared" si="34"/>
        <v>0</v>
      </c>
      <c r="G310" s="85"/>
      <c r="H310" s="85"/>
      <c r="I310" s="42"/>
      <c r="J310" s="104"/>
      <c r="K310" s="104"/>
      <c r="L310" s="71"/>
    </row>
    <row r="311" outlineLevel="2">
      <c r="A311" s="96" t="str">
        <f t="shared" si="31"/>
        <v/>
      </c>
      <c r="B311" s="98">
        <f t="shared" si="35"/>
        <v>0</v>
      </c>
      <c r="C311" s="97" t="str">
        <f t="shared" si="32"/>
        <v/>
      </c>
      <c r="D311" s="98" t="str">
        <f t="shared" si="33"/>
        <v/>
      </c>
      <c r="E311" s="98">
        <f t="shared" si="34"/>
        <v>0</v>
      </c>
      <c r="G311" s="85"/>
      <c r="H311" s="85"/>
      <c r="I311" s="42"/>
      <c r="J311" s="104"/>
      <c r="K311" s="104"/>
      <c r="L311" s="71"/>
    </row>
    <row r="312" outlineLevel="2">
      <c r="A312" s="96" t="str">
        <f t="shared" si="31"/>
        <v/>
      </c>
      <c r="B312" s="98">
        <f t="shared" si="35"/>
        <v>0</v>
      </c>
      <c r="C312" s="97" t="str">
        <f t="shared" si="32"/>
        <v/>
      </c>
      <c r="D312" s="98" t="str">
        <f t="shared" si="33"/>
        <v/>
      </c>
      <c r="E312" s="98">
        <f t="shared" si="34"/>
        <v>0</v>
      </c>
      <c r="G312" s="85"/>
      <c r="H312" s="85"/>
      <c r="I312" s="42"/>
      <c r="J312" s="104"/>
      <c r="K312" s="104"/>
      <c r="L312" s="71"/>
    </row>
    <row r="313" outlineLevel="2">
      <c r="A313" s="96" t="str">
        <f t="shared" si="31"/>
        <v/>
      </c>
      <c r="B313" s="98">
        <f t="shared" si="35"/>
        <v>0</v>
      </c>
      <c r="C313" s="97" t="str">
        <f t="shared" si="32"/>
        <v/>
      </c>
      <c r="D313" s="98" t="str">
        <f t="shared" si="33"/>
        <v/>
      </c>
      <c r="E313" s="98">
        <f t="shared" si="34"/>
        <v>0</v>
      </c>
      <c r="G313" s="85"/>
      <c r="H313" s="85"/>
      <c r="I313" s="42"/>
      <c r="J313" s="104"/>
      <c r="K313" s="104"/>
      <c r="L313" s="102"/>
    </row>
    <row r="314" outlineLevel="2">
      <c r="A314" s="96" t="str">
        <f t="shared" si="31"/>
        <v/>
      </c>
      <c r="B314" s="98">
        <f t="shared" si="35"/>
        <v>0</v>
      </c>
      <c r="C314" s="97" t="str">
        <f t="shared" si="32"/>
        <v/>
      </c>
      <c r="D314" s="98" t="str">
        <f t="shared" si="33"/>
        <v/>
      </c>
      <c r="E314" s="98">
        <f t="shared" si="34"/>
        <v>0</v>
      </c>
      <c r="G314" s="85"/>
      <c r="H314" s="85"/>
      <c r="I314" s="42"/>
      <c r="J314" s="104"/>
      <c r="K314" s="104"/>
      <c r="L314" s="102"/>
    </row>
    <row r="315" outlineLevel="2">
      <c r="A315" s="96" t="str">
        <f t="shared" si="31"/>
        <v/>
      </c>
      <c r="B315" s="98">
        <f t="shared" si="35"/>
        <v>0</v>
      </c>
      <c r="C315" s="97" t="str">
        <f t="shared" si="32"/>
        <v/>
      </c>
      <c r="D315" s="98" t="str">
        <f t="shared" si="33"/>
        <v/>
      </c>
      <c r="E315" s="98">
        <f t="shared" si="34"/>
        <v>0</v>
      </c>
      <c r="G315" s="85"/>
      <c r="H315" s="85"/>
      <c r="I315" s="42"/>
      <c r="J315" s="104"/>
      <c r="K315" s="104"/>
      <c r="L315" s="71"/>
    </row>
    <row r="316" outlineLevel="2">
      <c r="A316" s="39"/>
      <c r="B316" s="39"/>
      <c r="C316" s="39"/>
      <c r="D316" s="39"/>
      <c r="E316" s="39"/>
      <c r="F316" s="39" t="s">
        <v>163</v>
      </c>
      <c r="G316" s="51" t="str">
        <f>if(G264=TRUE,0,if(G263=FALSE,(SUM(B266:B315)+SUM(E266:E315)),999999))</f>
        <v>#REF!</v>
      </c>
      <c r="H316" s="76" t="s">
        <v>164</v>
      </c>
    </row>
    <row r="317" outlineLevel="2">
      <c r="A317" s="39"/>
      <c r="B317" s="39"/>
      <c r="C317" s="39"/>
      <c r="D317" s="39"/>
      <c r="E317" s="39"/>
      <c r="F317" s="39"/>
    </row>
    <row r="318" outlineLevel="1">
      <c r="A318" s="39"/>
      <c r="B318" s="39"/>
      <c r="C318" s="39"/>
      <c r="D318" s="39"/>
      <c r="E318" s="39"/>
      <c r="F318" s="39">
        <v>9.2</v>
      </c>
      <c r="G318" s="52" t="str">
        <f>if(G4="","TBD",hlookup(G4,'Scored Components + Weights'!1:17,12,FALSE))</f>
        <v>#REF!</v>
      </c>
      <c r="H318" s="53"/>
      <c r="I318" s="53"/>
      <c r="J318" s="53"/>
      <c r="K318" s="54"/>
      <c r="L318" s="71" t="s">
        <v>165</v>
      </c>
    </row>
    <row r="319" outlineLevel="2">
      <c r="A319" s="93"/>
      <c r="B319" s="94"/>
      <c r="C319" s="93"/>
      <c r="D319" s="93"/>
      <c r="E319" s="93"/>
      <c r="F319" s="39"/>
      <c r="G319" s="87" t="b">
        <v>0</v>
      </c>
      <c r="H319" s="87" t="s">
        <v>103</v>
      </c>
      <c r="L319" s="71" t="s">
        <v>166</v>
      </c>
    </row>
    <row r="320" outlineLevel="2">
      <c r="A320" s="93"/>
      <c r="B320" s="94"/>
      <c r="C320" s="93"/>
      <c r="D320" s="93"/>
      <c r="E320" s="93"/>
      <c r="F320" s="39"/>
      <c r="G320" s="87" t="b">
        <v>0</v>
      </c>
      <c r="H320" s="87" t="s">
        <v>105</v>
      </c>
      <c r="L320" s="71" t="s">
        <v>167</v>
      </c>
    </row>
    <row r="321" outlineLevel="2">
      <c r="A321" s="93" t="s">
        <v>74</v>
      </c>
      <c r="B321" s="94" t="s">
        <v>107</v>
      </c>
      <c r="C321" s="93" t="s">
        <v>108</v>
      </c>
      <c r="D321" s="93" t="s">
        <v>109</v>
      </c>
      <c r="E321" s="93" t="s">
        <v>110</v>
      </c>
      <c r="F321" s="39">
        <v>9.3</v>
      </c>
      <c r="G321" s="87" t="s">
        <v>111</v>
      </c>
      <c r="H321" s="87" t="s">
        <v>112</v>
      </c>
      <c r="I321" s="86" t="s">
        <v>113</v>
      </c>
      <c r="J321" s="95" t="s">
        <v>114</v>
      </c>
      <c r="K321" s="95" t="s">
        <v>115</v>
      </c>
      <c r="L321" s="71"/>
    </row>
    <row r="322" outlineLevel="2">
      <c r="A322" s="96" t="str">
        <f t="shared" ref="A322:A371" si="36">if(G322="","",vlookup(G322,Tools!$A$8:$E$177,5,FALSE))</f>
        <v>#REF!</v>
      </c>
      <c r="B322" s="94" t="s">
        <v>41</v>
      </c>
      <c r="C322" s="97" t="str">
        <f t="shared" ref="C322:C371" si="37">if(H322="","",vlookup(H322,'Actions + Proxy Times'!$A$3:$E$118,5,FALSE)*I322)</f>
        <v>#REF!</v>
      </c>
      <c r="D322" s="98" t="str">
        <f t="shared" ref="D322:D371" si="38">if(C322&gt;0,"",sum(J322:K322)*I322)</f>
        <v>#REF!</v>
      </c>
      <c r="E322" s="98" t="str">
        <f t="shared" ref="E322:E371" si="39">if(C322&gt;0,C322*A322,D322*A322)</f>
        <v>#REF!</v>
      </c>
      <c r="F322" s="39">
        <v>9.4</v>
      </c>
      <c r="G322" s="85" t="s">
        <v>116</v>
      </c>
      <c r="H322" s="85" t="s">
        <v>117</v>
      </c>
      <c r="I322" s="42">
        <v>1.0</v>
      </c>
      <c r="J322" s="42"/>
      <c r="K322" s="42"/>
      <c r="L322" s="71" t="s">
        <v>118</v>
      </c>
    </row>
    <row r="323" outlineLevel="2">
      <c r="A323" s="96" t="str">
        <f t="shared" si="36"/>
        <v>#REF!</v>
      </c>
      <c r="B323" s="98">
        <f t="shared" ref="B323:B371" si="40">if(G323="hand",0,if(G323=G322,0,1.44))</f>
        <v>1.44</v>
      </c>
      <c r="C323" s="97" t="str">
        <f t="shared" si="37"/>
        <v>#REF!</v>
      </c>
      <c r="D323" s="98" t="str">
        <f t="shared" si="38"/>
        <v>#REF!</v>
      </c>
      <c r="E323" s="98" t="str">
        <f t="shared" si="39"/>
        <v>#REF!</v>
      </c>
      <c r="G323" s="85" t="s">
        <v>119</v>
      </c>
      <c r="H323" s="85" t="s">
        <v>120</v>
      </c>
      <c r="I323" s="42">
        <v>4.0</v>
      </c>
      <c r="J323" s="42"/>
      <c r="K323" s="42"/>
      <c r="L323" s="71"/>
    </row>
    <row r="324" outlineLevel="2">
      <c r="A324" s="96" t="str">
        <f t="shared" si="36"/>
        <v>#REF!</v>
      </c>
      <c r="B324" s="98">
        <f t="shared" si="40"/>
        <v>0</v>
      </c>
      <c r="C324" s="97" t="str">
        <f t="shared" si="37"/>
        <v>#REF!</v>
      </c>
      <c r="D324" s="98" t="str">
        <f t="shared" si="38"/>
        <v>#REF!</v>
      </c>
      <c r="E324" s="98" t="str">
        <f t="shared" si="39"/>
        <v>#REF!</v>
      </c>
      <c r="G324" s="85" t="s">
        <v>116</v>
      </c>
      <c r="H324" s="85" t="s">
        <v>117</v>
      </c>
      <c r="I324" s="42">
        <v>1.0</v>
      </c>
      <c r="J324" s="42"/>
      <c r="K324" s="42"/>
      <c r="L324" s="71" t="s">
        <v>121</v>
      </c>
    </row>
    <row r="325" outlineLevel="2">
      <c r="A325" s="96" t="str">
        <f t="shared" si="36"/>
        <v>#REF!</v>
      </c>
      <c r="B325" s="98">
        <f t="shared" si="40"/>
        <v>1.44</v>
      </c>
      <c r="C325" s="97" t="str">
        <f t="shared" si="37"/>
        <v>#REF!</v>
      </c>
      <c r="D325" s="98" t="str">
        <f t="shared" si="38"/>
        <v>#REF!</v>
      </c>
      <c r="E325" s="98" t="str">
        <f t="shared" si="39"/>
        <v>#REF!</v>
      </c>
      <c r="G325" s="85" t="s">
        <v>122</v>
      </c>
      <c r="H325" s="85" t="s">
        <v>123</v>
      </c>
      <c r="I325" s="42">
        <v>16.0</v>
      </c>
      <c r="J325" s="42"/>
      <c r="K325" s="42"/>
      <c r="L325" s="71"/>
    </row>
    <row r="326" outlineLevel="2">
      <c r="A326" s="96" t="str">
        <f t="shared" si="36"/>
        <v>#REF!</v>
      </c>
      <c r="B326" s="98">
        <f t="shared" si="40"/>
        <v>0</v>
      </c>
      <c r="C326" s="97" t="str">
        <f t="shared" si="37"/>
        <v>#REF!</v>
      </c>
      <c r="D326" s="98" t="str">
        <f t="shared" si="38"/>
        <v>#REF!</v>
      </c>
      <c r="E326" s="98" t="str">
        <f t="shared" si="39"/>
        <v>#REF!</v>
      </c>
      <c r="G326" s="85" t="s">
        <v>116</v>
      </c>
      <c r="H326" s="85" t="s">
        <v>117</v>
      </c>
      <c r="I326" s="42">
        <v>1.0</v>
      </c>
      <c r="J326" s="42"/>
      <c r="K326" s="42"/>
      <c r="L326" s="71" t="s">
        <v>124</v>
      </c>
    </row>
    <row r="327" outlineLevel="2">
      <c r="A327" s="96" t="str">
        <f t="shared" si="36"/>
        <v>#REF!</v>
      </c>
      <c r="B327" s="98">
        <f t="shared" si="40"/>
        <v>0</v>
      </c>
      <c r="C327" s="97" t="str">
        <f t="shared" si="37"/>
        <v>#REF!</v>
      </c>
      <c r="D327" s="98" t="str">
        <f t="shared" si="38"/>
        <v>#REF!</v>
      </c>
      <c r="E327" s="98" t="str">
        <f t="shared" si="39"/>
        <v>#REF!</v>
      </c>
      <c r="G327" s="85" t="s">
        <v>116</v>
      </c>
      <c r="H327" s="85" t="s">
        <v>117</v>
      </c>
      <c r="I327" s="42">
        <v>1.0</v>
      </c>
      <c r="J327" s="42"/>
      <c r="K327" s="42"/>
      <c r="L327" s="71" t="s">
        <v>125</v>
      </c>
    </row>
    <row r="328" outlineLevel="2">
      <c r="A328" s="96" t="str">
        <f t="shared" si="36"/>
        <v>#REF!</v>
      </c>
      <c r="B328" s="98">
        <f t="shared" si="40"/>
        <v>1.44</v>
      </c>
      <c r="C328" s="97" t="str">
        <f t="shared" si="37"/>
        <v>#REF!</v>
      </c>
      <c r="D328" s="98" t="str">
        <f t="shared" si="38"/>
        <v>#REF!</v>
      </c>
      <c r="E328" s="98" t="str">
        <f t="shared" si="39"/>
        <v>#REF!</v>
      </c>
      <c r="G328" s="85" t="s">
        <v>126</v>
      </c>
      <c r="H328" s="85" t="s">
        <v>127</v>
      </c>
      <c r="I328" s="42">
        <v>2.0</v>
      </c>
      <c r="J328" s="42"/>
      <c r="K328" s="42"/>
      <c r="L328" s="71"/>
    </row>
    <row r="329" outlineLevel="2">
      <c r="A329" s="96" t="str">
        <f t="shared" si="36"/>
        <v>#REF!</v>
      </c>
      <c r="B329" s="98">
        <f t="shared" si="40"/>
        <v>0</v>
      </c>
      <c r="C329" s="97" t="str">
        <f t="shared" si="37"/>
        <v>#REF!</v>
      </c>
      <c r="D329" s="98" t="str">
        <f t="shared" si="38"/>
        <v>#REF!</v>
      </c>
      <c r="E329" s="98" t="str">
        <f t="shared" si="39"/>
        <v>#REF!</v>
      </c>
      <c r="G329" s="85" t="s">
        <v>126</v>
      </c>
      <c r="H329" s="85" t="s">
        <v>128</v>
      </c>
      <c r="I329" s="42">
        <v>1.0</v>
      </c>
      <c r="J329" s="42"/>
      <c r="K329" s="42"/>
      <c r="L329" s="71" t="s">
        <v>129</v>
      </c>
    </row>
    <row r="330" outlineLevel="2">
      <c r="A330" s="96" t="str">
        <f t="shared" si="36"/>
        <v>#REF!</v>
      </c>
      <c r="B330" s="98">
        <f t="shared" si="40"/>
        <v>0</v>
      </c>
      <c r="C330" s="97" t="str">
        <f t="shared" si="37"/>
        <v>#REF!</v>
      </c>
      <c r="D330" s="98" t="str">
        <f t="shared" si="38"/>
        <v>#REF!</v>
      </c>
      <c r="E330" s="98" t="str">
        <f t="shared" si="39"/>
        <v>#REF!</v>
      </c>
      <c r="G330" s="85" t="s">
        <v>126</v>
      </c>
      <c r="H330" s="85" t="s">
        <v>130</v>
      </c>
      <c r="I330" s="42">
        <v>1.0</v>
      </c>
      <c r="J330" s="42"/>
      <c r="K330" s="42"/>
      <c r="L330" s="71" t="s">
        <v>131</v>
      </c>
    </row>
    <row r="331" outlineLevel="2">
      <c r="A331" s="96" t="str">
        <f t="shared" si="36"/>
        <v>#REF!</v>
      </c>
      <c r="B331" s="98">
        <f t="shared" si="40"/>
        <v>0</v>
      </c>
      <c r="C331" s="97" t="str">
        <f t="shared" si="37"/>
        <v>#REF!</v>
      </c>
      <c r="D331" s="98" t="str">
        <f t="shared" si="38"/>
        <v>#REF!</v>
      </c>
      <c r="E331" s="98" t="str">
        <f t="shared" si="39"/>
        <v>#REF!</v>
      </c>
      <c r="G331" s="85" t="s">
        <v>126</v>
      </c>
      <c r="H331" s="85" t="s">
        <v>132</v>
      </c>
      <c r="I331" s="42">
        <v>1.0</v>
      </c>
      <c r="J331" s="42"/>
      <c r="K331" s="42"/>
      <c r="L331" s="71"/>
    </row>
    <row r="332" outlineLevel="2">
      <c r="A332" s="96" t="str">
        <f t="shared" si="36"/>
        <v>#REF!</v>
      </c>
      <c r="B332" s="98">
        <f t="shared" si="40"/>
        <v>0</v>
      </c>
      <c r="C332" s="97" t="str">
        <f t="shared" si="37"/>
        <v>#REF!</v>
      </c>
      <c r="D332" s="98" t="str">
        <f t="shared" si="38"/>
        <v>#REF!</v>
      </c>
      <c r="E332" s="98" t="str">
        <f t="shared" si="39"/>
        <v>#REF!</v>
      </c>
      <c r="G332" s="85" t="s">
        <v>126</v>
      </c>
      <c r="H332" s="85" t="s">
        <v>133</v>
      </c>
      <c r="I332" s="42">
        <v>1.0</v>
      </c>
      <c r="J332" s="42"/>
      <c r="K332" s="42"/>
      <c r="L332" s="71" t="s">
        <v>134</v>
      </c>
    </row>
    <row r="333" outlineLevel="2">
      <c r="A333" s="96" t="str">
        <f t="shared" si="36"/>
        <v>#REF!</v>
      </c>
      <c r="B333" s="98">
        <f t="shared" si="40"/>
        <v>0</v>
      </c>
      <c r="C333" s="97" t="str">
        <f t="shared" si="37"/>
        <v>#REF!</v>
      </c>
      <c r="D333" s="98" t="str">
        <f t="shared" si="38"/>
        <v>#REF!</v>
      </c>
      <c r="E333" s="98" t="str">
        <f t="shared" si="39"/>
        <v>#REF!</v>
      </c>
      <c r="G333" s="85" t="s">
        <v>116</v>
      </c>
      <c r="H333" s="85" t="s">
        <v>135</v>
      </c>
      <c r="I333" s="42">
        <v>1.0</v>
      </c>
      <c r="J333" s="42"/>
      <c r="K333" s="42"/>
      <c r="L333" s="99" t="s">
        <v>136</v>
      </c>
    </row>
    <row r="334" outlineLevel="2">
      <c r="A334" s="96" t="str">
        <f t="shared" si="36"/>
        <v>#REF!</v>
      </c>
      <c r="B334" s="98">
        <f t="shared" si="40"/>
        <v>1.44</v>
      </c>
      <c r="C334" s="97" t="str">
        <f t="shared" si="37"/>
        <v>#REF!</v>
      </c>
      <c r="D334" s="98" t="str">
        <f t="shared" si="38"/>
        <v>#REF!</v>
      </c>
      <c r="E334" s="98" t="str">
        <f t="shared" si="39"/>
        <v>#REF!</v>
      </c>
      <c r="G334" s="85" t="s">
        <v>126</v>
      </c>
      <c r="H334" s="85" t="s">
        <v>133</v>
      </c>
      <c r="I334" s="42">
        <v>2.0</v>
      </c>
      <c r="J334" s="42"/>
      <c r="K334" s="42"/>
      <c r="L334" s="71" t="s">
        <v>168</v>
      </c>
    </row>
    <row r="335" outlineLevel="2">
      <c r="A335" s="96" t="str">
        <f t="shared" si="36"/>
        <v>#REF!</v>
      </c>
      <c r="B335" s="98">
        <f t="shared" si="40"/>
        <v>0</v>
      </c>
      <c r="C335" s="97" t="str">
        <f t="shared" si="37"/>
        <v>#REF!</v>
      </c>
      <c r="D335" s="98" t="str">
        <f t="shared" si="38"/>
        <v>#REF!</v>
      </c>
      <c r="E335" s="98" t="str">
        <f t="shared" si="39"/>
        <v>#REF!</v>
      </c>
      <c r="G335" s="85" t="s">
        <v>116</v>
      </c>
      <c r="H335" s="85" t="s">
        <v>117</v>
      </c>
      <c r="I335" s="42">
        <v>1.0</v>
      </c>
      <c r="J335" s="104"/>
      <c r="K335" s="104"/>
      <c r="L335" s="71" t="s">
        <v>169</v>
      </c>
    </row>
    <row r="336" outlineLevel="2">
      <c r="A336" s="96" t="str">
        <f t="shared" si="36"/>
        <v>#REF!</v>
      </c>
      <c r="B336" s="98">
        <f t="shared" si="40"/>
        <v>1.44</v>
      </c>
      <c r="C336" s="97" t="str">
        <f t="shared" si="37"/>
        <v>#REF!</v>
      </c>
      <c r="D336" s="98" t="str">
        <f t="shared" si="38"/>
        <v>#REF!</v>
      </c>
      <c r="E336" s="98" t="str">
        <f t="shared" si="39"/>
        <v>#REF!</v>
      </c>
      <c r="G336" s="85" t="s">
        <v>145</v>
      </c>
      <c r="H336" s="85" t="s">
        <v>120</v>
      </c>
      <c r="I336" s="42">
        <v>2.0</v>
      </c>
      <c r="J336" s="104"/>
      <c r="K336" s="104"/>
      <c r="L336" s="71"/>
    </row>
    <row r="337" outlineLevel="2">
      <c r="A337" s="96" t="str">
        <f t="shared" si="36"/>
        <v>#REF!</v>
      </c>
      <c r="B337" s="98">
        <f t="shared" si="40"/>
        <v>1.44</v>
      </c>
      <c r="C337" s="97" t="str">
        <f t="shared" si="37"/>
        <v>#REF!</v>
      </c>
      <c r="D337" s="98" t="str">
        <f t="shared" si="38"/>
        <v>#REF!</v>
      </c>
      <c r="E337" s="98" t="str">
        <f t="shared" si="39"/>
        <v>#REF!</v>
      </c>
      <c r="G337" s="85" t="s">
        <v>126</v>
      </c>
      <c r="H337" s="85" t="s">
        <v>132</v>
      </c>
      <c r="I337" s="42">
        <v>1.0</v>
      </c>
      <c r="J337" s="104"/>
      <c r="K337" s="104"/>
      <c r="L337" s="71"/>
    </row>
    <row r="338" outlineLevel="2">
      <c r="A338" s="96" t="str">
        <f t="shared" si="36"/>
        <v>#REF!</v>
      </c>
      <c r="B338" s="98">
        <f t="shared" si="40"/>
        <v>0</v>
      </c>
      <c r="C338" s="97" t="str">
        <f t="shared" si="37"/>
        <v>#REF!</v>
      </c>
      <c r="D338" s="98" t="str">
        <f t="shared" si="38"/>
        <v>#REF!</v>
      </c>
      <c r="E338" s="98" t="str">
        <f t="shared" si="39"/>
        <v>#REF!</v>
      </c>
      <c r="G338" s="85" t="s">
        <v>126</v>
      </c>
      <c r="H338" s="85" t="s">
        <v>133</v>
      </c>
      <c r="I338" s="42">
        <v>1.0</v>
      </c>
      <c r="J338" s="104"/>
      <c r="K338" s="104"/>
      <c r="L338" s="71" t="s">
        <v>170</v>
      </c>
    </row>
    <row r="339" outlineLevel="2">
      <c r="A339" s="96" t="str">
        <f t="shared" si="36"/>
        <v>#REF!</v>
      </c>
      <c r="B339" s="98">
        <f t="shared" si="40"/>
        <v>0</v>
      </c>
      <c r="C339" s="97" t="str">
        <f t="shared" si="37"/>
        <v>#REF!</v>
      </c>
      <c r="D339" s="98" t="str">
        <f t="shared" si="38"/>
        <v>#REF!</v>
      </c>
      <c r="E339" s="98" t="str">
        <f t="shared" si="39"/>
        <v>#REF!</v>
      </c>
      <c r="G339" s="85" t="s">
        <v>126</v>
      </c>
      <c r="H339" s="85" t="s">
        <v>117</v>
      </c>
      <c r="I339" s="42">
        <v>1.0</v>
      </c>
      <c r="J339" s="104"/>
      <c r="K339" s="104"/>
      <c r="L339" s="99" t="s">
        <v>171</v>
      </c>
    </row>
    <row r="340" outlineLevel="2">
      <c r="A340" s="96" t="str">
        <f t="shared" si="36"/>
        <v/>
      </c>
      <c r="B340" s="98">
        <f t="shared" si="40"/>
        <v>1.44</v>
      </c>
      <c r="C340" s="97" t="str">
        <f t="shared" si="37"/>
        <v/>
      </c>
      <c r="D340" s="98" t="str">
        <f t="shared" si="38"/>
        <v/>
      </c>
      <c r="E340" s="98">
        <f t="shared" si="39"/>
        <v>0</v>
      </c>
      <c r="G340" s="85"/>
      <c r="H340" s="85"/>
      <c r="I340" s="42"/>
      <c r="J340" s="104"/>
      <c r="K340" s="104"/>
      <c r="L340" s="102"/>
    </row>
    <row r="341" outlineLevel="2">
      <c r="A341" s="96" t="str">
        <f t="shared" si="36"/>
        <v/>
      </c>
      <c r="B341" s="98">
        <f t="shared" si="40"/>
        <v>0</v>
      </c>
      <c r="C341" s="97" t="str">
        <f t="shared" si="37"/>
        <v/>
      </c>
      <c r="D341" s="98" t="str">
        <f t="shared" si="38"/>
        <v/>
      </c>
      <c r="E341" s="98">
        <f t="shared" si="39"/>
        <v>0</v>
      </c>
      <c r="G341" s="85"/>
      <c r="H341" s="85"/>
      <c r="I341" s="42"/>
      <c r="J341" s="104"/>
      <c r="K341" s="104"/>
      <c r="L341" s="71"/>
    </row>
    <row r="342" outlineLevel="2">
      <c r="A342" s="96" t="str">
        <f t="shared" si="36"/>
        <v/>
      </c>
      <c r="B342" s="98">
        <f t="shared" si="40"/>
        <v>0</v>
      </c>
      <c r="C342" s="97" t="str">
        <f t="shared" si="37"/>
        <v/>
      </c>
      <c r="D342" s="98" t="str">
        <f t="shared" si="38"/>
        <v/>
      </c>
      <c r="E342" s="98">
        <f t="shared" si="39"/>
        <v>0</v>
      </c>
      <c r="G342" s="85"/>
      <c r="H342" s="85"/>
      <c r="I342" s="42"/>
      <c r="J342" s="104"/>
      <c r="K342" s="104"/>
      <c r="L342" s="71"/>
    </row>
    <row r="343" outlineLevel="2">
      <c r="A343" s="96" t="str">
        <f t="shared" si="36"/>
        <v/>
      </c>
      <c r="B343" s="98">
        <f t="shared" si="40"/>
        <v>0</v>
      </c>
      <c r="C343" s="97" t="str">
        <f t="shared" si="37"/>
        <v/>
      </c>
      <c r="D343" s="98" t="str">
        <f t="shared" si="38"/>
        <v/>
      </c>
      <c r="E343" s="98">
        <f t="shared" si="39"/>
        <v>0</v>
      </c>
      <c r="G343" s="85"/>
      <c r="H343" s="85"/>
      <c r="I343" s="42"/>
      <c r="J343" s="104"/>
      <c r="K343" s="104"/>
      <c r="L343" s="71"/>
    </row>
    <row r="344" outlineLevel="2">
      <c r="A344" s="96" t="str">
        <f t="shared" si="36"/>
        <v/>
      </c>
      <c r="B344" s="98">
        <f t="shared" si="40"/>
        <v>0</v>
      </c>
      <c r="C344" s="97" t="str">
        <f t="shared" si="37"/>
        <v/>
      </c>
      <c r="D344" s="98" t="str">
        <f t="shared" si="38"/>
        <v/>
      </c>
      <c r="E344" s="98">
        <f t="shared" si="39"/>
        <v>0</v>
      </c>
      <c r="G344" s="85"/>
      <c r="H344" s="85"/>
      <c r="I344" s="42"/>
      <c r="J344" s="104"/>
      <c r="K344" s="104"/>
      <c r="L344" s="71"/>
    </row>
    <row r="345" outlineLevel="2">
      <c r="A345" s="96" t="str">
        <f t="shared" si="36"/>
        <v/>
      </c>
      <c r="B345" s="98">
        <f t="shared" si="40"/>
        <v>0</v>
      </c>
      <c r="C345" s="97" t="str">
        <f t="shared" si="37"/>
        <v/>
      </c>
      <c r="D345" s="98" t="str">
        <f t="shared" si="38"/>
        <v/>
      </c>
      <c r="E345" s="98">
        <f t="shared" si="39"/>
        <v>0</v>
      </c>
      <c r="G345" s="85"/>
      <c r="H345" s="85"/>
      <c r="I345" s="42"/>
      <c r="J345" s="104"/>
      <c r="K345" s="104"/>
      <c r="L345" s="102"/>
    </row>
    <row r="346" outlineLevel="2">
      <c r="A346" s="96" t="str">
        <f t="shared" si="36"/>
        <v/>
      </c>
      <c r="B346" s="98">
        <f t="shared" si="40"/>
        <v>0</v>
      </c>
      <c r="C346" s="97" t="str">
        <f t="shared" si="37"/>
        <v/>
      </c>
      <c r="D346" s="98" t="str">
        <f t="shared" si="38"/>
        <v/>
      </c>
      <c r="E346" s="98">
        <f t="shared" si="39"/>
        <v>0</v>
      </c>
      <c r="G346" s="85"/>
      <c r="H346" s="85"/>
      <c r="I346" s="42"/>
      <c r="J346" s="104"/>
      <c r="K346" s="104"/>
      <c r="L346" s="102"/>
    </row>
    <row r="347" outlineLevel="2">
      <c r="A347" s="96" t="str">
        <f t="shared" si="36"/>
        <v/>
      </c>
      <c r="B347" s="98">
        <f t="shared" si="40"/>
        <v>0</v>
      </c>
      <c r="C347" s="97" t="str">
        <f t="shared" si="37"/>
        <v/>
      </c>
      <c r="D347" s="98" t="str">
        <f t="shared" si="38"/>
        <v/>
      </c>
      <c r="E347" s="98">
        <f t="shared" si="39"/>
        <v>0</v>
      </c>
      <c r="G347" s="85"/>
      <c r="H347" s="85"/>
      <c r="I347" s="42"/>
      <c r="J347" s="104"/>
      <c r="K347" s="104"/>
      <c r="L347" s="71"/>
    </row>
    <row r="348" outlineLevel="2">
      <c r="A348" s="96" t="str">
        <f t="shared" si="36"/>
        <v/>
      </c>
      <c r="B348" s="98">
        <f t="shared" si="40"/>
        <v>0</v>
      </c>
      <c r="C348" s="97" t="str">
        <f t="shared" si="37"/>
        <v/>
      </c>
      <c r="D348" s="98" t="str">
        <f t="shared" si="38"/>
        <v/>
      </c>
      <c r="E348" s="98">
        <f t="shared" si="39"/>
        <v>0</v>
      </c>
      <c r="G348" s="85"/>
      <c r="H348" s="85"/>
      <c r="I348" s="42"/>
      <c r="J348" s="104"/>
      <c r="K348" s="104"/>
      <c r="L348" s="102"/>
    </row>
    <row r="349" outlineLevel="2">
      <c r="A349" s="96" t="str">
        <f t="shared" si="36"/>
        <v/>
      </c>
      <c r="B349" s="98">
        <f t="shared" si="40"/>
        <v>0</v>
      </c>
      <c r="C349" s="97" t="str">
        <f t="shared" si="37"/>
        <v/>
      </c>
      <c r="D349" s="98" t="str">
        <f t="shared" si="38"/>
        <v/>
      </c>
      <c r="E349" s="98">
        <f t="shared" si="39"/>
        <v>0</v>
      </c>
      <c r="G349" s="85"/>
      <c r="H349" s="85"/>
      <c r="I349" s="42"/>
      <c r="J349" s="42"/>
      <c r="K349" s="42"/>
      <c r="L349" s="71"/>
    </row>
    <row r="350" outlineLevel="2">
      <c r="A350" s="96" t="str">
        <f t="shared" si="36"/>
        <v/>
      </c>
      <c r="B350" s="98">
        <f t="shared" si="40"/>
        <v>0</v>
      </c>
      <c r="C350" s="97" t="str">
        <f t="shared" si="37"/>
        <v/>
      </c>
      <c r="D350" s="98" t="str">
        <f t="shared" si="38"/>
        <v/>
      </c>
      <c r="E350" s="98">
        <f t="shared" si="39"/>
        <v>0</v>
      </c>
      <c r="G350" s="85"/>
      <c r="H350" s="85"/>
      <c r="I350" s="42"/>
      <c r="J350" s="104"/>
      <c r="K350" s="104"/>
      <c r="L350" s="71"/>
    </row>
    <row r="351" outlineLevel="2">
      <c r="A351" s="96" t="str">
        <f t="shared" si="36"/>
        <v/>
      </c>
      <c r="B351" s="98">
        <f t="shared" si="40"/>
        <v>0</v>
      </c>
      <c r="C351" s="97" t="str">
        <f t="shared" si="37"/>
        <v/>
      </c>
      <c r="D351" s="98" t="str">
        <f t="shared" si="38"/>
        <v/>
      </c>
      <c r="E351" s="98">
        <f t="shared" si="39"/>
        <v>0</v>
      </c>
      <c r="G351" s="85"/>
      <c r="H351" s="85"/>
      <c r="I351" s="42"/>
      <c r="J351" s="104"/>
      <c r="K351" s="104"/>
      <c r="L351" s="71"/>
    </row>
    <row r="352" outlineLevel="2">
      <c r="A352" s="96" t="str">
        <f t="shared" si="36"/>
        <v/>
      </c>
      <c r="B352" s="98">
        <f t="shared" si="40"/>
        <v>0</v>
      </c>
      <c r="C352" s="97" t="str">
        <f t="shared" si="37"/>
        <v/>
      </c>
      <c r="D352" s="98" t="str">
        <f t="shared" si="38"/>
        <v/>
      </c>
      <c r="E352" s="98">
        <f t="shared" si="39"/>
        <v>0</v>
      </c>
      <c r="G352" s="85"/>
      <c r="H352" s="85"/>
      <c r="I352" s="42"/>
      <c r="J352" s="104"/>
      <c r="K352" s="104"/>
      <c r="L352" s="71"/>
    </row>
    <row r="353" outlineLevel="2">
      <c r="A353" s="96" t="str">
        <f t="shared" si="36"/>
        <v/>
      </c>
      <c r="B353" s="98">
        <f t="shared" si="40"/>
        <v>0</v>
      </c>
      <c r="C353" s="97" t="str">
        <f t="shared" si="37"/>
        <v/>
      </c>
      <c r="D353" s="98" t="str">
        <f t="shared" si="38"/>
        <v/>
      </c>
      <c r="E353" s="98">
        <f t="shared" si="39"/>
        <v>0</v>
      </c>
      <c r="G353" s="85"/>
      <c r="H353" s="85"/>
      <c r="I353" s="42"/>
      <c r="J353" s="104"/>
      <c r="K353" s="104"/>
      <c r="L353" s="71"/>
    </row>
    <row r="354" outlineLevel="2">
      <c r="A354" s="96" t="str">
        <f t="shared" si="36"/>
        <v/>
      </c>
      <c r="B354" s="98">
        <f t="shared" si="40"/>
        <v>0</v>
      </c>
      <c r="C354" s="97" t="str">
        <f t="shared" si="37"/>
        <v/>
      </c>
      <c r="D354" s="98" t="str">
        <f t="shared" si="38"/>
        <v/>
      </c>
      <c r="E354" s="98">
        <f t="shared" si="39"/>
        <v>0</v>
      </c>
      <c r="G354" s="85"/>
      <c r="H354" s="85"/>
      <c r="I354" s="42"/>
      <c r="J354" s="104"/>
      <c r="K354" s="104"/>
      <c r="L354" s="102"/>
    </row>
    <row r="355" outlineLevel="2">
      <c r="A355" s="96" t="str">
        <f t="shared" si="36"/>
        <v/>
      </c>
      <c r="B355" s="98">
        <f t="shared" si="40"/>
        <v>0</v>
      </c>
      <c r="C355" s="97" t="str">
        <f t="shared" si="37"/>
        <v/>
      </c>
      <c r="D355" s="98" t="str">
        <f t="shared" si="38"/>
        <v/>
      </c>
      <c r="E355" s="98">
        <f t="shared" si="39"/>
        <v>0</v>
      </c>
      <c r="G355" s="85"/>
      <c r="H355" s="85"/>
      <c r="I355" s="42"/>
      <c r="J355" s="104"/>
      <c r="K355" s="104"/>
      <c r="L355" s="71"/>
    </row>
    <row r="356" outlineLevel="2">
      <c r="A356" s="96" t="str">
        <f t="shared" si="36"/>
        <v/>
      </c>
      <c r="B356" s="98">
        <f t="shared" si="40"/>
        <v>0</v>
      </c>
      <c r="C356" s="97" t="str">
        <f t="shared" si="37"/>
        <v/>
      </c>
      <c r="D356" s="98" t="str">
        <f t="shared" si="38"/>
        <v/>
      </c>
      <c r="E356" s="98">
        <f t="shared" si="39"/>
        <v>0</v>
      </c>
      <c r="G356" s="85"/>
      <c r="H356" s="85"/>
      <c r="I356" s="42"/>
      <c r="J356" s="104"/>
      <c r="K356" s="104"/>
      <c r="L356" s="102"/>
    </row>
    <row r="357" outlineLevel="2">
      <c r="A357" s="96" t="str">
        <f t="shared" si="36"/>
        <v/>
      </c>
      <c r="B357" s="98">
        <f t="shared" si="40"/>
        <v>0</v>
      </c>
      <c r="C357" s="97" t="str">
        <f t="shared" si="37"/>
        <v/>
      </c>
      <c r="D357" s="98" t="str">
        <f t="shared" si="38"/>
        <v/>
      </c>
      <c r="E357" s="98">
        <f t="shared" si="39"/>
        <v>0</v>
      </c>
      <c r="G357" s="85"/>
      <c r="H357" s="85"/>
      <c r="I357" s="42"/>
      <c r="J357" s="104"/>
      <c r="K357" s="104"/>
      <c r="L357" s="102"/>
    </row>
    <row r="358" outlineLevel="2">
      <c r="A358" s="96" t="str">
        <f t="shared" si="36"/>
        <v/>
      </c>
      <c r="B358" s="98">
        <f t="shared" si="40"/>
        <v>0</v>
      </c>
      <c r="C358" s="97" t="str">
        <f t="shared" si="37"/>
        <v/>
      </c>
      <c r="D358" s="98" t="str">
        <f t="shared" si="38"/>
        <v/>
      </c>
      <c r="E358" s="98">
        <f t="shared" si="39"/>
        <v>0</v>
      </c>
      <c r="G358" s="100"/>
      <c r="H358" s="100"/>
      <c r="I358" s="42"/>
      <c r="J358" s="42"/>
      <c r="K358" s="42"/>
      <c r="L358" s="71"/>
    </row>
    <row r="359" outlineLevel="2">
      <c r="A359" s="96" t="str">
        <f t="shared" si="36"/>
        <v/>
      </c>
      <c r="B359" s="98">
        <f t="shared" si="40"/>
        <v>0</v>
      </c>
      <c r="C359" s="97" t="str">
        <f t="shared" si="37"/>
        <v/>
      </c>
      <c r="D359" s="98" t="str">
        <f t="shared" si="38"/>
        <v/>
      </c>
      <c r="E359" s="98">
        <f t="shared" si="39"/>
        <v>0</v>
      </c>
      <c r="G359" s="100"/>
      <c r="H359" s="100"/>
      <c r="I359" s="101"/>
      <c r="J359" s="104"/>
      <c r="K359" s="104"/>
      <c r="L359" s="71"/>
    </row>
    <row r="360" outlineLevel="2">
      <c r="A360" s="96" t="str">
        <f t="shared" si="36"/>
        <v/>
      </c>
      <c r="B360" s="98">
        <f t="shared" si="40"/>
        <v>0</v>
      </c>
      <c r="C360" s="97" t="str">
        <f t="shared" si="37"/>
        <v/>
      </c>
      <c r="D360" s="98" t="str">
        <f t="shared" si="38"/>
        <v/>
      </c>
      <c r="E360" s="98">
        <f t="shared" si="39"/>
        <v>0</v>
      </c>
      <c r="G360" s="85"/>
      <c r="H360" s="100"/>
      <c r="I360" s="101"/>
      <c r="J360" s="104"/>
      <c r="K360" s="104"/>
      <c r="L360" s="71"/>
    </row>
    <row r="361" outlineLevel="2">
      <c r="A361" s="96" t="str">
        <f t="shared" si="36"/>
        <v/>
      </c>
      <c r="B361" s="98">
        <f t="shared" si="40"/>
        <v>0</v>
      </c>
      <c r="C361" s="97" t="str">
        <f t="shared" si="37"/>
        <v/>
      </c>
      <c r="D361" s="98" t="str">
        <f t="shared" si="38"/>
        <v/>
      </c>
      <c r="E361" s="98">
        <f t="shared" si="39"/>
        <v>0</v>
      </c>
      <c r="G361" s="85"/>
      <c r="H361" s="85"/>
      <c r="I361" s="42"/>
      <c r="J361" s="104"/>
      <c r="K361" s="104"/>
      <c r="L361" s="71"/>
    </row>
    <row r="362" outlineLevel="2">
      <c r="A362" s="96" t="str">
        <f t="shared" si="36"/>
        <v/>
      </c>
      <c r="B362" s="98">
        <f t="shared" si="40"/>
        <v>0</v>
      </c>
      <c r="C362" s="97" t="str">
        <f t="shared" si="37"/>
        <v/>
      </c>
      <c r="D362" s="98" t="str">
        <f t="shared" si="38"/>
        <v/>
      </c>
      <c r="E362" s="98">
        <f t="shared" si="39"/>
        <v>0</v>
      </c>
      <c r="G362" s="85"/>
      <c r="H362" s="85"/>
      <c r="I362" s="42"/>
      <c r="J362" s="104"/>
      <c r="K362" s="104"/>
      <c r="L362" s="71"/>
    </row>
    <row r="363" outlineLevel="2">
      <c r="A363" s="96" t="str">
        <f t="shared" si="36"/>
        <v/>
      </c>
      <c r="B363" s="98">
        <f t="shared" si="40"/>
        <v>0</v>
      </c>
      <c r="C363" s="97" t="str">
        <f t="shared" si="37"/>
        <v/>
      </c>
      <c r="D363" s="98" t="str">
        <f t="shared" si="38"/>
        <v/>
      </c>
      <c r="E363" s="98">
        <f t="shared" si="39"/>
        <v>0</v>
      </c>
      <c r="G363" s="85"/>
      <c r="H363" s="85"/>
      <c r="I363" s="42"/>
      <c r="J363" s="104"/>
      <c r="K363" s="104"/>
      <c r="L363" s="71"/>
    </row>
    <row r="364" outlineLevel="2">
      <c r="A364" s="96" t="str">
        <f t="shared" si="36"/>
        <v/>
      </c>
      <c r="B364" s="98">
        <f t="shared" si="40"/>
        <v>0</v>
      </c>
      <c r="C364" s="97" t="str">
        <f t="shared" si="37"/>
        <v/>
      </c>
      <c r="D364" s="98" t="str">
        <f t="shared" si="38"/>
        <v/>
      </c>
      <c r="E364" s="98">
        <f t="shared" si="39"/>
        <v>0</v>
      </c>
      <c r="G364" s="85"/>
      <c r="H364" s="85"/>
      <c r="I364" s="42"/>
      <c r="J364" s="104"/>
      <c r="K364" s="104"/>
      <c r="L364" s="102"/>
    </row>
    <row r="365" outlineLevel="2">
      <c r="A365" s="96" t="str">
        <f t="shared" si="36"/>
        <v/>
      </c>
      <c r="B365" s="98">
        <f t="shared" si="40"/>
        <v>0</v>
      </c>
      <c r="C365" s="97" t="str">
        <f t="shared" si="37"/>
        <v/>
      </c>
      <c r="D365" s="98" t="str">
        <f t="shared" si="38"/>
        <v/>
      </c>
      <c r="E365" s="98">
        <f t="shared" si="39"/>
        <v>0</v>
      </c>
      <c r="G365" s="85"/>
      <c r="H365" s="85"/>
      <c r="I365" s="42"/>
      <c r="J365" s="104"/>
      <c r="K365" s="104"/>
      <c r="L365" s="71"/>
    </row>
    <row r="366" outlineLevel="2">
      <c r="A366" s="96" t="str">
        <f t="shared" si="36"/>
        <v/>
      </c>
      <c r="B366" s="98">
        <f t="shared" si="40"/>
        <v>0</v>
      </c>
      <c r="C366" s="97" t="str">
        <f t="shared" si="37"/>
        <v/>
      </c>
      <c r="D366" s="98" t="str">
        <f t="shared" si="38"/>
        <v/>
      </c>
      <c r="E366" s="98">
        <f t="shared" si="39"/>
        <v>0</v>
      </c>
      <c r="G366" s="85"/>
      <c r="H366" s="85"/>
      <c r="I366" s="42"/>
      <c r="J366" s="104"/>
      <c r="K366" s="104"/>
      <c r="L366" s="71"/>
    </row>
    <row r="367" outlineLevel="2">
      <c r="A367" s="96" t="str">
        <f t="shared" si="36"/>
        <v/>
      </c>
      <c r="B367" s="98">
        <f t="shared" si="40"/>
        <v>0</v>
      </c>
      <c r="C367" s="97" t="str">
        <f t="shared" si="37"/>
        <v/>
      </c>
      <c r="D367" s="98" t="str">
        <f t="shared" si="38"/>
        <v/>
      </c>
      <c r="E367" s="98">
        <f t="shared" si="39"/>
        <v>0</v>
      </c>
      <c r="G367" s="85"/>
      <c r="H367" s="85"/>
      <c r="I367" s="42"/>
      <c r="J367" s="104"/>
      <c r="K367" s="104"/>
      <c r="L367" s="71"/>
    </row>
    <row r="368" outlineLevel="2">
      <c r="A368" s="96" t="str">
        <f t="shared" si="36"/>
        <v/>
      </c>
      <c r="B368" s="98">
        <f t="shared" si="40"/>
        <v>0</v>
      </c>
      <c r="C368" s="97" t="str">
        <f t="shared" si="37"/>
        <v/>
      </c>
      <c r="D368" s="98" t="str">
        <f t="shared" si="38"/>
        <v/>
      </c>
      <c r="E368" s="98">
        <f t="shared" si="39"/>
        <v>0</v>
      </c>
      <c r="G368" s="85"/>
      <c r="H368" s="85"/>
      <c r="I368" s="42"/>
      <c r="J368" s="104"/>
      <c r="K368" s="104"/>
      <c r="L368" s="71"/>
    </row>
    <row r="369" outlineLevel="2">
      <c r="A369" s="96" t="str">
        <f t="shared" si="36"/>
        <v/>
      </c>
      <c r="B369" s="98">
        <f t="shared" si="40"/>
        <v>0</v>
      </c>
      <c r="C369" s="97" t="str">
        <f t="shared" si="37"/>
        <v/>
      </c>
      <c r="D369" s="98" t="str">
        <f t="shared" si="38"/>
        <v/>
      </c>
      <c r="E369" s="98">
        <f t="shared" si="39"/>
        <v>0</v>
      </c>
      <c r="G369" s="85"/>
      <c r="H369" s="85"/>
      <c r="I369" s="42"/>
      <c r="J369" s="104"/>
      <c r="K369" s="104"/>
      <c r="L369" s="102"/>
    </row>
    <row r="370" outlineLevel="2">
      <c r="A370" s="96" t="str">
        <f t="shared" si="36"/>
        <v/>
      </c>
      <c r="B370" s="98">
        <f t="shared" si="40"/>
        <v>0</v>
      </c>
      <c r="C370" s="97" t="str">
        <f t="shared" si="37"/>
        <v/>
      </c>
      <c r="D370" s="98" t="str">
        <f t="shared" si="38"/>
        <v/>
      </c>
      <c r="E370" s="98">
        <f t="shared" si="39"/>
        <v>0</v>
      </c>
      <c r="G370" s="85"/>
      <c r="H370" s="85"/>
      <c r="I370" s="42"/>
      <c r="J370" s="104"/>
      <c r="K370" s="104"/>
      <c r="L370" s="102"/>
    </row>
    <row r="371" outlineLevel="2">
      <c r="A371" s="96" t="str">
        <f t="shared" si="36"/>
        <v/>
      </c>
      <c r="B371" s="98">
        <f t="shared" si="40"/>
        <v>0</v>
      </c>
      <c r="C371" s="97" t="str">
        <f t="shared" si="37"/>
        <v/>
      </c>
      <c r="D371" s="98" t="str">
        <f t="shared" si="38"/>
        <v/>
      </c>
      <c r="E371" s="98">
        <f t="shared" si="39"/>
        <v>0</v>
      </c>
      <c r="G371" s="85"/>
      <c r="H371" s="85"/>
      <c r="I371" s="42"/>
      <c r="J371" s="104"/>
      <c r="K371" s="104"/>
      <c r="L371" s="71"/>
    </row>
    <row r="372" outlineLevel="2">
      <c r="A372" s="39"/>
      <c r="B372" s="39"/>
      <c r="C372" s="39"/>
      <c r="D372" s="39"/>
      <c r="E372" s="39"/>
      <c r="F372" s="39" t="s">
        <v>172</v>
      </c>
      <c r="G372" s="51" t="str">
        <f>if(G320=TRUE,0,if(G319=FALSE,(SUM(B322:B371)+SUM(E322:E371)),999999))</f>
        <v>#REF!</v>
      </c>
      <c r="H372" s="76" t="s">
        <v>173</v>
      </c>
    </row>
    <row r="373" outlineLevel="2">
      <c r="A373" s="39"/>
      <c r="B373" s="39"/>
      <c r="C373" s="39"/>
      <c r="D373" s="39"/>
      <c r="E373" s="39"/>
      <c r="F373" s="39"/>
    </row>
    <row r="374" outlineLevel="1">
      <c r="A374" s="39"/>
      <c r="B374" s="39"/>
      <c r="C374" s="39"/>
      <c r="D374" s="39"/>
      <c r="E374" s="39"/>
      <c r="F374" s="39">
        <v>9.2</v>
      </c>
      <c r="G374" s="52" t="str">
        <f>if(G4="","TBD",hlookup(G4,'Scored Components + Weights'!1:17,14,FALSE))</f>
        <v>#REF!</v>
      </c>
      <c r="H374" s="53"/>
      <c r="I374" s="53"/>
      <c r="J374" s="53"/>
      <c r="K374" s="54"/>
      <c r="L374" s="71" t="s">
        <v>174</v>
      </c>
    </row>
    <row r="375" outlineLevel="2">
      <c r="A375" s="93"/>
      <c r="B375" s="94"/>
      <c r="C375" s="93"/>
      <c r="D375" s="93"/>
      <c r="E375" s="93"/>
      <c r="F375" s="39"/>
      <c r="G375" s="87" t="b">
        <v>0</v>
      </c>
      <c r="H375" s="87" t="s">
        <v>103</v>
      </c>
      <c r="L375" s="71" t="s">
        <v>175</v>
      </c>
    </row>
    <row r="376" outlineLevel="2">
      <c r="A376" s="93"/>
      <c r="B376" s="94"/>
      <c r="C376" s="93"/>
      <c r="D376" s="93"/>
      <c r="E376" s="93"/>
      <c r="F376" s="39"/>
      <c r="G376" s="87" t="b">
        <v>0</v>
      </c>
      <c r="H376" s="87" t="s">
        <v>105</v>
      </c>
      <c r="L376" s="71" t="s">
        <v>176</v>
      </c>
    </row>
    <row r="377" outlineLevel="2">
      <c r="A377" s="93" t="s">
        <v>74</v>
      </c>
      <c r="B377" s="94" t="s">
        <v>107</v>
      </c>
      <c r="C377" s="93" t="s">
        <v>108</v>
      </c>
      <c r="D377" s="93" t="s">
        <v>109</v>
      </c>
      <c r="E377" s="93" t="s">
        <v>110</v>
      </c>
      <c r="F377" s="39">
        <v>9.3</v>
      </c>
      <c r="G377" s="87" t="s">
        <v>111</v>
      </c>
      <c r="H377" s="87" t="s">
        <v>112</v>
      </c>
      <c r="I377" s="86" t="s">
        <v>113</v>
      </c>
      <c r="J377" s="95" t="s">
        <v>114</v>
      </c>
      <c r="K377" s="95" t="s">
        <v>115</v>
      </c>
      <c r="L377" s="71"/>
    </row>
    <row r="378" outlineLevel="2">
      <c r="A378" s="96" t="str">
        <f t="shared" ref="A378:A427" si="41">if(G378="","",vlookup(G378,Tools!$A$8:$E$177,5,FALSE))</f>
        <v>#REF!</v>
      </c>
      <c r="B378" s="94" t="s">
        <v>41</v>
      </c>
      <c r="C378" s="97" t="str">
        <f t="shared" ref="C378:C427" si="42">if(H378="","",vlookup(H378,'Actions + Proxy Times'!$A$3:$E$118,5,FALSE)*I378)</f>
        <v>#REF!</v>
      </c>
      <c r="D378" s="98" t="str">
        <f t="shared" ref="D378:D427" si="43">if(C378&gt;0,"",sum(J378:K378)*I378)</f>
        <v>#REF!</v>
      </c>
      <c r="E378" s="98" t="str">
        <f t="shared" ref="E378:E427" si="44">if(C378&gt;0,C378*A378,D378*A378)</f>
        <v>#REF!</v>
      </c>
      <c r="F378" s="39">
        <v>9.4</v>
      </c>
      <c r="G378" s="85" t="s">
        <v>116</v>
      </c>
      <c r="H378" s="85" t="s">
        <v>117</v>
      </c>
      <c r="I378" s="42">
        <v>1.0</v>
      </c>
      <c r="J378" s="42"/>
      <c r="K378" s="42"/>
      <c r="L378" s="71" t="s">
        <v>118</v>
      </c>
    </row>
    <row r="379" outlineLevel="2">
      <c r="A379" s="96" t="str">
        <f t="shared" si="41"/>
        <v>#REF!</v>
      </c>
      <c r="B379" s="98">
        <f t="shared" ref="B379:B427" si="45">if(G379="hand",0,if(G379=G378,0,1.44))</f>
        <v>1.44</v>
      </c>
      <c r="C379" s="97" t="str">
        <f t="shared" si="42"/>
        <v>#REF!</v>
      </c>
      <c r="D379" s="98" t="str">
        <f t="shared" si="43"/>
        <v>#REF!</v>
      </c>
      <c r="E379" s="98" t="str">
        <f t="shared" si="44"/>
        <v>#REF!</v>
      </c>
      <c r="G379" s="85" t="s">
        <v>119</v>
      </c>
      <c r="H379" s="85" t="s">
        <v>120</v>
      </c>
      <c r="I379" s="42">
        <v>1.0</v>
      </c>
      <c r="J379" s="42"/>
      <c r="K379" s="42"/>
      <c r="L379" s="71"/>
    </row>
    <row r="380" outlineLevel="2">
      <c r="A380" s="96" t="str">
        <f t="shared" si="41"/>
        <v>#REF!</v>
      </c>
      <c r="B380" s="98">
        <f t="shared" si="45"/>
        <v>1.44</v>
      </c>
      <c r="C380" s="97" t="str">
        <f t="shared" si="42"/>
        <v>#REF!</v>
      </c>
      <c r="D380" s="98" t="str">
        <f t="shared" si="43"/>
        <v>#REF!</v>
      </c>
      <c r="E380" s="98" t="str">
        <f t="shared" si="44"/>
        <v>#REF!</v>
      </c>
      <c r="G380" s="85" t="s">
        <v>126</v>
      </c>
      <c r="H380" s="85" t="s">
        <v>117</v>
      </c>
      <c r="I380" s="42">
        <v>1.0</v>
      </c>
      <c r="J380" s="104"/>
      <c r="K380" s="104"/>
      <c r="L380" s="71" t="s">
        <v>177</v>
      </c>
    </row>
    <row r="381" outlineLevel="2">
      <c r="A381" s="96" t="str">
        <f t="shared" si="41"/>
        <v>#REF!</v>
      </c>
      <c r="B381" s="98">
        <f t="shared" si="45"/>
        <v>1.44</v>
      </c>
      <c r="C381" s="97" t="str">
        <f t="shared" si="42"/>
        <v>#REF!</v>
      </c>
      <c r="D381" s="98" t="str">
        <f t="shared" si="43"/>
        <v>#REF!</v>
      </c>
      <c r="E381" s="98" t="str">
        <f t="shared" si="44"/>
        <v>#REF!</v>
      </c>
      <c r="G381" s="85" t="s">
        <v>145</v>
      </c>
      <c r="H381" s="85" t="s">
        <v>120</v>
      </c>
      <c r="I381" s="42">
        <v>1.0</v>
      </c>
      <c r="J381" s="104"/>
      <c r="K381" s="104"/>
      <c r="L381" s="71" t="s">
        <v>178</v>
      </c>
    </row>
    <row r="382" outlineLevel="2">
      <c r="A382" s="96" t="str">
        <f t="shared" si="41"/>
        <v>#REF!</v>
      </c>
      <c r="B382" s="98">
        <f t="shared" si="45"/>
        <v>0</v>
      </c>
      <c r="C382" s="97" t="str">
        <f t="shared" si="42"/>
        <v>#REF!</v>
      </c>
      <c r="D382" s="98" t="str">
        <f t="shared" si="43"/>
        <v>#REF!</v>
      </c>
      <c r="E382" s="98" t="str">
        <f t="shared" si="44"/>
        <v>#REF!</v>
      </c>
      <c r="G382" s="85" t="s">
        <v>116</v>
      </c>
      <c r="H382" s="85" t="s">
        <v>117</v>
      </c>
      <c r="I382" s="42">
        <v>1.0</v>
      </c>
      <c r="J382" s="42"/>
      <c r="K382" s="42"/>
      <c r="L382" s="71" t="s">
        <v>179</v>
      </c>
    </row>
    <row r="383" outlineLevel="2">
      <c r="A383" s="96" t="str">
        <f t="shared" si="41"/>
        <v>#REF!</v>
      </c>
      <c r="B383" s="98">
        <f t="shared" si="45"/>
        <v>0</v>
      </c>
      <c r="C383" s="97" t="str">
        <f t="shared" si="42"/>
        <v>#REF!</v>
      </c>
      <c r="D383" s="98" t="str">
        <f t="shared" si="43"/>
        <v>#REF!</v>
      </c>
      <c r="E383" s="98" t="str">
        <f t="shared" si="44"/>
        <v>#REF!</v>
      </c>
      <c r="G383" s="85" t="s">
        <v>116</v>
      </c>
      <c r="H383" s="85" t="s">
        <v>135</v>
      </c>
      <c r="I383" s="42">
        <v>1.0</v>
      </c>
      <c r="J383" s="104"/>
      <c r="K383" s="104"/>
      <c r="L383" s="71" t="s">
        <v>180</v>
      </c>
    </row>
    <row r="384" outlineLevel="2">
      <c r="A384" s="96" t="str">
        <f t="shared" si="41"/>
        <v/>
      </c>
      <c r="B384" s="98">
        <f t="shared" si="45"/>
        <v>1.44</v>
      </c>
      <c r="C384" s="97" t="str">
        <f t="shared" si="42"/>
        <v/>
      </c>
      <c r="D384" s="98" t="str">
        <f t="shared" si="43"/>
        <v/>
      </c>
      <c r="E384" s="98">
        <f t="shared" si="44"/>
        <v>0</v>
      </c>
      <c r="G384" s="85"/>
      <c r="H384" s="85"/>
      <c r="I384" s="42"/>
      <c r="J384" s="104"/>
      <c r="K384" s="104"/>
      <c r="L384" s="102"/>
    </row>
    <row r="385" outlineLevel="2">
      <c r="A385" s="96" t="str">
        <f t="shared" si="41"/>
        <v/>
      </c>
      <c r="B385" s="98">
        <f t="shared" si="45"/>
        <v>0</v>
      </c>
      <c r="C385" s="97" t="str">
        <f t="shared" si="42"/>
        <v/>
      </c>
      <c r="D385" s="98" t="str">
        <f t="shared" si="43"/>
        <v/>
      </c>
      <c r="E385" s="98">
        <f t="shared" si="44"/>
        <v>0</v>
      </c>
      <c r="G385" s="85"/>
      <c r="H385" s="85"/>
      <c r="I385" s="42"/>
      <c r="J385" s="104"/>
      <c r="K385" s="104"/>
      <c r="L385" s="71"/>
    </row>
    <row r="386" outlineLevel="2">
      <c r="A386" s="96" t="str">
        <f t="shared" si="41"/>
        <v/>
      </c>
      <c r="B386" s="98">
        <f t="shared" si="45"/>
        <v>0</v>
      </c>
      <c r="C386" s="97" t="str">
        <f t="shared" si="42"/>
        <v/>
      </c>
      <c r="D386" s="98" t="str">
        <f t="shared" si="43"/>
        <v/>
      </c>
      <c r="E386" s="98">
        <f t="shared" si="44"/>
        <v>0</v>
      </c>
      <c r="G386" s="85"/>
      <c r="H386" s="85"/>
      <c r="I386" s="42"/>
      <c r="J386" s="104"/>
      <c r="K386" s="104"/>
      <c r="L386" s="71"/>
    </row>
    <row r="387" outlineLevel="2">
      <c r="A387" s="96" t="str">
        <f t="shared" si="41"/>
        <v/>
      </c>
      <c r="B387" s="98">
        <f t="shared" si="45"/>
        <v>0</v>
      </c>
      <c r="C387" s="97" t="str">
        <f t="shared" si="42"/>
        <v/>
      </c>
      <c r="D387" s="98" t="str">
        <f t="shared" si="43"/>
        <v/>
      </c>
      <c r="E387" s="98">
        <f t="shared" si="44"/>
        <v>0</v>
      </c>
      <c r="G387" s="85"/>
      <c r="H387" s="85"/>
      <c r="I387" s="42"/>
      <c r="J387" s="104"/>
      <c r="K387" s="104"/>
      <c r="L387" s="71"/>
    </row>
    <row r="388" outlineLevel="2">
      <c r="A388" s="96" t="str">
        <f t="shared" si="41"/>
        <v/>
      </c>
      <c r="B388" s="98">
        <f t="shared" si="45"/>
        <v>0</v>
      </c>
      <c r="C388" s="97" t="str">
        <f t="shared" si="42"/>
        <v/>
      </c>
      <c r="D388" s="98" t="str">
        <f t="shared" si="43"/>
        <v/>
      </c>
      <c r="E388" s="98">
        <f t="shared" si="44"/>
        <v>0</v>
      </c>
      <c r="G388" s="85"/>
      <c r="H388" s="85"/>
      <c r="I388" s="42"/>
      <c r="J388" s="104"/>
      <c r="K388" s="104"/>
      <c r="L388" s="102"/>
    </row>
    <row r="389" outlineLevel="2">
      <c r="A389" s="96" t="str">
        <f t="shared" si="41"/>
        <v/>
      </c>
      <c r="B389" s="98">
        <f t="shared" si="45"/>
        <v>0</v>
      </c>
      <c r="C389" s="97" t="str">
        <f t="shared" si="42"/>
        <v/>
      </c>
      <c r="D389" s="98" t="str">
        <f t="shared" si="43"/>
        <v/>
      </c>
      <c r="E389" s="98">
        <f t="shared" si="44"/>
        <v>0</v>
      </c>
      <c r="G389" s="85"/>
      <c r="H389" s="85"/>
      <c r="I389" s="42"/>
      <c r="J389" s="104"/>
      <c r="K389" s="104"/>
      <c r="L389" s="102"/>
    </row>
    <row r="390" outlineLevel="2">
      <c r="A390" s="96" t="str">
        <f t="shared" si="41"/>
        <v/>
      </c>
      <c r="B390" s="98">
        <f t="shared" si="45"/>
        <v>0</v>
      </c>
      <c r="C390" s="97" t="str">
        <f t="shared" si="42"/>
        <v/>
      </c>
      <c r="D390" s="98" t="str">
        <f t="shared" si="43"/>
        <v/>
      </c>
      <c r="E390" s="98">
        <f t="shared" si="44"/>
        <v>0</v>
      </c>
      <c r="G390" s="100"/>
      <c r="H390" s="100"/>
      <c r="I390" s="42"/>
      <c r="J390" s="42"/>
      <c r="K390" s="42"/>
      <c r="L390" s="71"/>
    </row>
    <row r="391" outlineLevel="2">
      <c r="A391" s="96" t="str">
        <f t="shared" si="41"/>
        <v/>
      </c>
      <c r="B391" s="98">
        <f t="shared" si="45"/>
        <v>0</v>
      </c>
      <c r="C391" s="97" t="str">
        <f t="shared" si="42"/>
        <v/>
      </c>
      <c r="D391" s="98" t="str">
        <f t="shared" si="43"/>
        <v/>
      </c>
      <c r="E391" s="98">
        <f t="shared" si="44"/>
        <v>0</v>
      </c>
      <c r="G391" s="100"/>
      <c r="H391" s="100"/>
      <c r="I391" s="101"/>
      <c r="J391" s="104"/>
      <c r="K391" s="104"/>
      <c r="L391" s="71"/>
    </row>
    <row r="392" outlineLevel="2">
      <c r="A392" s="96" t="str">
        <f t="shared" si="41"/>
        <v/>
      </c>
      <c r="B392" s="98">
        <f t="shared" si="45"/>
        <v>0</v>
      </c>
      <c r="C392" s="97" t="str">
        <f t="shared" si="42"/>
        <v/>
      </c>
      <c r="D392" s="98" t="str">
        <f t="shared" si="43"/>
        <v/>
      </c>
      <c r="E392" s="98">
        <f t="shared" si="44"/>
        <v>0</v>
      </c>
      <c r="G392" s="85"/>
      <c r="H392" s="100"/>
      <c r="I392" s="101"/>
      <c r="J392" s="104"/>
      <c r="K392" s="104"/>
      <c r="L392" s="71"/>
    </row>
    <row r="393" outlineLevel="2">
      <c r="A393" s="96" t="str">
        <f t="shared" si="41"/>
        <v/>
      </c>
      <c r="B393" s="98">
        <f t="shared" si="45"/>
        <v>0</v>
      </c>
      <c r="C393" s="97" t="str">
        <f t="shared" si="42"/>
        <v/>
      </c>
      <c r="D393" s="98" t="str">
        <f t="shared" si="43"/>
        <v/>
      </c>
      <c r="E393" s="98">
        <f t="shared" si="44"/>
        <v>0</v>
      </c>
      <c r="G393" s="85"/>
      <c r="H393" s="85"/>
      <c r="I393" s="42"/>
      <c r="J393" s="104"/>
      <c r="K393" s="104"/>
      <c r="L393" s="71"/>
    </row>
    <row r="394" outlineLevel="2">
      <c r="A394" s="96" t="str">
        <f t="shared" si="41"/>
        <v/>
      </c>
      <c r="B394" s="98">
        <f t="shared" si="45"/>
        <v>0</v>
      </c>
      <c r="C394" s="97" t="str">
        <f t="shared" si="42"/>
        <v/>
      </c>
      <c r="D394" s="98" t="str">
        <f t="shared" si="43"/>
        <v/>
      </c>
      <c r="E394" s="98">
        <f t="shared" si="44"/>
        <v>0</v>
      </c>
      <c r="G394" s="85"/>
      <c r="H394" s="85"/>
      <c r="I394" s="42"/>
      <c r="J394" s="104"/>
      <c r="K394" s="104"/>
      <c r="L394" s="71"/>
    </row>
    <row r="395" outlineLevel="2">
      <c r="A395" s="96" t="str">
        <f t="shared" si="41"/>
        <v/>
      </c>
      <c r="B395" s="98">
        <f t="shared" si="45"/>
        <v>0</v>
      </c>
      <c r="C395" s="97" t="str">
        <f t="shared" si="42"/>
        <v/>
      </c>
      <c r="D395" s="98" t="str">
        <f t="shared" si="43"/>
        <v/>
      </c>
      <c r="E395" s="98">
        <f t="shared" si="44"/>
        <v>0</v>
      </c>
      <c r="G395" s="85"/>
      <c r="H395" s="85"/>
      <c r="I395" s="42"/>
      <c r="J395" s="104"/>
      <c r="K395" s="104"/>
      <c r="L395" s="71"/>
    </row>
    <row r="396" outlineLevel="2">
      <c r="A396" s="96" t="str">
        <f t="shared" si="41"/>
        <v/>
      </c>
      <c r="B396" s="98">
        <f t="shared" si="45"/>
        <v>0</v>
      </c>
      <c r="C396" s="97" t="str">
        <f t="shared" si="42"/>
        <v/>
      </c>
      <c r="D396" s="98" t="str">
        <f t="shared" si="43"/>
        <v/>
      </c>
      <c r="E396" s="98">
        <f t="shared" si="44"/>
        <v>0</v>
      </c>
      <c r="G396" s="85"/>
      <c r="H396" s="85"/>
      <c r="I396" s="42"/>
      <c r="J396" s="104"/>
      <c r="K396" s="104"/>
      <c r="L396" s="102"/>
    </row>
    <row r="397" outlineLevel="2">
      <c r="A397" s="96" t="str">
        <f t="shared" si="41"/>
        <v/>
      </c>
      <c r="B397" s="98">
        <f t="shared" si="45"/>
        <v>0</v>
      </c>
      <c r="C397" s="97" t="str">
        <f t="shared" si="42"/>
        <v/>
      </c>
      <c r="D397" s="98" t="str">
        <f t="shared" si="43"/>
        <v/>
      </c>
      <c r="E397" s="98">
        <f t="shared" si="44"/>
        <v>0</v>
      </c>
      <c r="G397" s="85"/>
      <c r="H397" s="85"/>
      <c r="I397" s="42"/>
      <c r="J397" s="104"/>
      <c r="K397" s="104"/>
      <c r="L397" s="71"/>
    </row>
    <row r="398" outlineLevel="2">
      <c r="A398" s="96" t="str">
        <f t="shared" si="41"/>
        <v/>
      </c>
      <c r="B398" s="98">
        <f t="shared" si="45"/>
        <v>0</v>
      </c>
      <c r="C398" s="97" t="str">
        <f t="shared" si="42"/>
        <v/>
      </c>
      <c r="D398" s="98" t="str">
        <f t="shared" si="43"/>
        <v/>
      </c>
      <c r="E398" s="98">
        <f t="shared" si="44"/>
        <v>0</v>
      </c>
      <c r="G398" s="85"/>
      <c r="H398" s="85"/>
      <c r="I398" s="42"/>
      <c r="J398" s="104"/>
      <c r="K398" s="104"/>
      <c r="L398" s="71"/>
    </row>
    <row r="399" outlineLevel="2">
      <c r="A399" s="96" t="str">
        <f t="shared" si="41"/>
        <v/>
      </c>
      <c r="B399" s="98">
        <f t="shared" si="45"/>
        <v>0</v>
      </c>
      <c r="C399" s="97" t="str">
        <f t="shared" si="42"/>
        <v/>
      </c>
      <c r="D399" s="98" t="str">
        <f t="shared" si="43"/>
        <v/>
      </c>
      <c r="E399" s="98">
        <f t="shared" si="44"/>
        <v>0</v>
      </c>
      <c r="G399" s="85"/>
      <c r="H399" s="85"/>
      <c r="I399" s="42"/>
      <c r="J399" s="104"/>
      <c r="K399" s="104"/>
      <c r="L399" s="71"/>
    </row>
    <row r="400" outlineLevel="2">
      <c r="A400" s="96" t="str">
        <f t="shared" si="41"/>
        <v/>
      </c>
      <c r="B400" s="98">
        <f t="shared" si="45"/>
        <v>0</v>
      </c>
      <c r="C400" s="97" t="str">
        <f t="shared" si="42"/>
        <v/>
      </c>
      <c r="D400" s="98" t="str">
        <f t="shared" si="43"/>
        <v/>
      </c>
      <c r="E400" s="98">
        <f t="shared" si="44"/>
        <v>0</v>
      </c>
      <c r="G400" s="85"/>
      <c r="H400" s="85"/>
      <c r="I400" s="42"/>
      <c r="J400" s="104"/>
      <c r="K400" s="104"/>
      <c r="L400" s="71"/>
    </row>
    <row r="401" outlineLevel="2">
      <c r="A401" s="96" t="str">
        <f t="shared" si="41"/>
        <v/>
      </c>
      <c r="B401" s="98">
        <f t="shared" si="45"/>
        <v>0</v>
      </c>
      <c r="C401" s="97" t="str">
        <f t="shared" si="42"/>
        <v/>
      </c>
      <c r="D401" s="98" t="str">
        <f t="shared" si="43"/>
        <v/>
      </c>
      <c r="E401" s="98">
        <f t="shared" si="44"/>
        <v>0</v>
      </c>
      <c r="G401" s="85"/>
      <c r="H401" s="85"/>
      <c r="I401" s="42"/>
      <c r="J401" s="104"/>
      <c r="K401" s="104"/>
      <c r="L401" s="102"/>
    </row>
    <row r="402" outlineLevel="2">
      <c r="A402" s="96" t="str">
        <f t="shared" si="41"/>
        <v/>
      </c>
      <c r="B402" s="98">
        <f t="shared" si="45"/>
        <v>0</v>
      </c>
      <c r="C402" s="97" t="str">
        <f t="shared" si="42"/>
        <v/>
      </c>
      <c r="D402" s="98" t="str">
        <f t="shared" si="43"/>
        <v/>
      </c>
      <c r="E402" s="98">
        <f t="shared" si="44"/>
        <v>0</v>
      </c>
      <c r="G402" s="85"/>
      <c r="H402" s="85"/>
      <c r="I402" s="42"/>
      <c r="J402" s="104"/>
      <c r="K402" s="104"/>
      <c r="L402" s="102"/>
    </row>
    <row r="403" outlineLevel="2">
      <c r="A403" s="96" t="str">
        <f t="shared" si="41"/>
        <v/>
      </c>
      <c r="B403" s="98">
        <f t="shared" si="45"/>
        <v>0</v>
      </c>
      <c r="C403" s="97" t="str">
        <f t="shared" si="42"/>
        <v/>
      </c>
      <c r="D403" s="98" t="str">
        <f t="shared" si="43"/>
        <v/>
      </c>
      <c r="E403" s="98">
        <f t="shared" si="44"/>
        <v>0</v>
      </c>
      <c r="G403" s="85"/>
      <c r="H403" s="85"/>
      <c r="I403" s="42"/>
      <c r="J403" s="104"/>
      <c r="K403" s="104"/>
      <c r="L403" s="71"/>
    </row>
    <row r="404" outlineLevel="2">
      <c r="A404" s="96" t="str">
        <f t="shared" si="41"/>
        <v/>
      </c>
      <c r="B404" s="98">
        <f t="shared" si="45"/>
        <v>0</v>
      </c>
      <c r="C404" s="97" t="str">
        <f t="shared" si="42"/>
        <v/>
      </c>
      <c r="D404" s="98" t="str">
        <f t="shared" si="43"/>
        <v/>
      </c>
      <c r="E404" s="98">
        <f t="shared" si="44"/>
        <v>0</v>
      </c>
      <c r="G404" s="85"/>
      <c r="H404" s="85"/>
      <c r="I404" s="42"/>
      <c r="J404" s="104"/>
      <c r="K404" s="104"/>
      <c r="L404" s="102"/>
    </row>
    <row r="405" outlineLevel="2">
      <c r="A405" s="96" t="str">
        <f t="shared" si="41"/>
        <v/>
      </c>
      <c r="B405" s="98">
        <f t="shared" si="45"/>
        <v>0</v>
      </c>
      <c r="C405" s="97" t="str">
        <f t="shared" si="42"/>
        <v/>
      </c>
      <c r="D405" s="98" t="str">
        <f t="shared" si="43"/>
        <v/>
      </c>
      <c r="E405" s="98">
        <f t="shared" si="44"/>
        <v>0</v>
      </c>
      <c r="G405" s="85"/>
      <c r="H405" s="85"/>
      <c r="I405" s="42"/>
      <c r="J405" s="42"/>
      <c r="K405" s="42"/>
      <c r="L405" s="71"/>
    </row>
    <row r="406" outlineLevel="2">
      <c r="A406" s="96" t="str">
        <f t="shared" si="41"/>
        <v/>
      </c>
      <c r="B406" s="98">
        <f t="shared" si="45"/>
        <v>0</v>
      </c>
      <c r="C406" s="97" t="str">
        <f t="shared" si="42"/>
        <v/>
      </c>
      <c r="D406" s="98" t="str">
        <f t="shared" si="43"/>
        <v/>
      </c>
      <c r="E406" s="98">
        <f t="shared" si="44"/>
        <v>0</v>
      </c>
      <c r="G406" s="85"/>
      <c r="H406" s="85"/>
      <c r="I406" s="42"/>
      <c r="J406" s="104"/>
      <c r="K406" s="104"/>
      <c r="L406" s="71"/>
    </row>
    <row r="407" outlineLevel="2">
      <c r="A407" s="96" t="str">
        <f t="shared" si="41"/>
        <v/>
      </c>
      <c r="B407" s="98">
        <f t="shared" si="45"/>
        <v>0</v>
      </c>
      <c r="C407" s="97" t="str">
        <f t="shared" si="42"/>
        <v/>
      </c>
      <c r="D407" s="98" t="str">
        <f t="shared" si="43"/>
        <v/>
      </c>
      <c r="E407" s="98">
        <f t="shared" si="44"/>
        <v>0</v>
      </c>
      <c r="G407" s="85"/>
      <c r="H407" s="85"/>
      <c r="I407" s="42"/>
      <c r="J407" s="104"/>
      <c r="K407" s="104"/>
      <c r="L407" s="71"/>
    </row>
    <row r="408" outlineLevel="2">
      <c r="A408" s="96" t="str">
        <f t="shared" si="41"/>
        <v/>
      </c>
      <c r="B408" s="98">
        <f t="shared" si="45"/>
        <v>0</v>
      </c>
      <c r="C408" s="97" t="str">
        <f t="shared" si="42"/>
        <v/>
      </c>
      <c r="D408" s="98" t="str">
        <f t="shared" si="43"/>
        <v/>
      </c>
      <c r="E408" s="98">
        <f t="shared" si="44"/>
        <v>0</v>
      </c>
      <c r="G408" s="85"/>
      <c r="H408" s="85"/>
      <c r="I408" s="42"/>
      <c r="J408" s="104"/>
      <c r="K408" s="104"/>
      <c r="L408" s="71"/>
    </row>
    <row r="409" outlineLevel="2">
      <c r="A409" s="96" t="str">
        <f t="shared" si="41"/>
        <v/>
      </c>
      <c r="B409" s="98">
        <f t="shared" si="45"/>
        <v>0</v>
      </c>
      <c r="C409" s="97" t="str">
        <f t="shared" si="42"/>
        <v/>
      </c>
      <c r="D409" s="98" t="str">
        <f t="shared" si="43"/>
        <v/>
      </c>
      <c r="E409" s="98">
        <f t="shared" si="44"/>
        <v>0</v>
      </c>
      <c r="G409" s="85"/>
      <c r="H409" s="85"/>
      <c r="I409" s="42"/>
      <c r="J409" s="104"/>
      <c r="K409" s="104"/>
      <c r="L409" s="71"/>
    </row>
    <row r="410" outlineLevel="2">
      <c r="A410" s="96" t="str">
        <f t="shared" si="41"/>
        <v/>
      </c>
      <c r="B410" s="98">
        <f t="shared" si="45"/>
        <v>0</v>
      </c>
      <c r="C410" s="97" t="str">
        <f t="shared" si="42"/>
        <v/>
      </c>
      <c r="D410" s="98" t="str">
        <f t="shared" si="43"/>
        <v/>
      </c>
      <c r="E410" s="98">
        <f t="shared" si="44"/>
        <v>0</v>
      </c>
      <c r="G410" s="85"/>
      <c r="H410" s="85"/>
      <c r="I410" s="42"/>
      <c r="J410" s="104"/>
      <c r="K410" s="104"/>
      <c r="L410" s="102"/>
    </row>
    <row r="411" outlineLevel="2">
      <c r="A411" s="96" t="str">
        <f t="shared" si="41"/>
        <v/>
      </c>
      <c r="B411" s="98">
        <f t="shared" si="45"/>
        <v>0</v>
      </c>
      <c r="C411" s="97" t="str">
        <f t="shared" si="42"/>
        <v/>
      </c>
      <c r="D411" s="98" t="str">
        <f t="shared" si="43"/>
        <v/>
      </c>
      <c r="E411" s="98">
        <f t="shared" si="44"/>
        <v>0</v>
      </c>
      <c r="G411" s="85"/>
      <c r="H411" s="85"/>
      <c r="I411" s="42"/>
      <c r="J411" s="104"/>
      <c r="K411" s="104"/>
      <c r="L411" s="71"/>
    </row>
    <row r="412" outlineLevel="2">
      <c r="A412" s="96" t="str">
        <f t="shared" si="41"/>
        <v/>
      </c>
      <c r="B412" s="98">
        <f t="shared" si="45"/>
        <v>0</v>
      </c>
      <c r="C412" s="97" t="str">
        <f t="shared" si="42"/>
        <v/>
      </c>
      <c r="D412" s="98" t="str">
        <f t="shared" si="43"/>
        <v/>
      </c>
      <c r="E412" s="98">
        <f t="shared" si="44"/>
        <v>0</v>
      </c>
      <c r="G412" s="85"/>
      <c r="H412" s="85"/>
      <c r="I412" s="42"/>
      <c r="J412" s="104"/>
      <c r="K412" s="104"/>
      <c r="L412" s="102"/>
    </row>
    <row r="413" outlineLevel="2">
      <c r="A413" s="96" t="str">
        <f t="shared" si="41"/>
        <v/>
      </c>
      <c r="B413" s="98">
        <f t="shared" si="45"/>
        <v>0</v>
      </c>
      <c r="C413" s="97" t="str">
        <f t="shared" si="42"/>
        <v/>
      </c>
      <c r="D413" s="98" t="str">
        <f t="shared" si="43"/>
        <v/>
      </c>
      <c r="E413" s="98">
        <f t="shared" si="44"/>
        <v>0</v>
      </c>
      <c r="G413" s="85"/>
      <c r="H413" s="85"/>
      <c r="I413" s="42"/>
      <c r="J413" s="104"/>
      <c r="K413" s="104"/>
      <c r="L413" s="102"/>
    </row>
    <row r="414" outlineLevel="2">
      <c r="A414" s="96" t="str">
        <f t="shared" si="41"/>
        <v/>
      </c>
      <c r="B414" s="98">
        <f t="shared" si="45"/>
        <v>0</v>
      </c>
      <c r="C414" s="97" t="str">
        <f t="shared" si="42"/>
        <v/>
      </c>
      <c r="D414" s="98" t="str">
        <f t="shared" si="43"/>
        <v/>
      </c>
      <c r="E414" s="98">
        <f t="shared" si="44"/>
        <v>0</v>
      </c>
      <c r="G414" s="100"/>
      <c r="H414" s="100"/>
      <c r="I414" s="42"/>
      <c r="J414" s="42"/>
      <c r="K414" s="42"/>
      <c r="L414" s="71"/>
    </row>
    <row r="415" outlineLevel="2">
      <c r="A415" s="96" t="str">
        <f t="shared" si="41"/>
        <v/>
      </c>
      <c r="B415" s="98">
        <f t="shared" si="45"/>
        <v>0</v>
      </c>
      <c r="C415" s="97" t="str">
        <f t="shared" si="42"/>
        <v/>
      </c>
      <c r="D415" s="98" t="str">
        <f t="shared" si="43"/>
        <v/>
      </c>
      <c r="E415" s="98">
        <f t="shared" si="44"/>
        <v>0</v>
      </c>
      <c r="G415" s="100"/>
      <c r="H415" s="100"/>
      <c r="I415" s="101"/>
      <c r="J415" s="104"/>
      <c r="K415" s="104"/>
      <c r="L415" s="71"/>
    </row>
    <row r="416" outlineLevel="2">
      <c r="A416" s="96" t="str">
        <f t="shared" si="41"/>
        <v/>
      </c>
      <c r="B416" s="98">
        <f t="shared" si="45"/>
        <v>0</v>
      </c>
      <c r="C416" s="97" t="str">
        <f t="shared" si="42"/>
        <v/>
      </c>
      <c r="D416" s="98" t="str">
        <f t="shared" si="43"/>
        <v/>
      </c>
      <c r="E416" s="98">
        <f t="shared" si="44"/>
        <v>0</v>
      </c>
      <c r="G416" s="85"/>
      <c r="H416" s="100"/>
      <c r="I416" s="101"/>
      <c r="J416" s="104"/>
      <c r="K416" s="104"/>
      <c r="L416" s="71"/>
    </row>
    <row r="417" outlineLevel="2">
      <c r="A417" s="96" t="str">
        <f t="shared" si="41"/>
        <v/>
      </c>
      <c r="B417" s="98">
        <f t="shared" si="45"/>
        <v>0</v>
      </c>
      <c r="C417" s="97" t="str">
        <f t="shared" si="42"/>
        <v/>
      </c>
      <c r="D417" s="98" t="str">
        <f t="shared" si="43"/>
        <v/>
      </c>
      <c r="E417" s="98">
        <f t="shared" si="44"/>
        <v>0</v>
      </c>
      <c r="G417" s="85"/>
      <c r="H417" s="85"/>
      <c r="I417" s="42"/>
      <c r="J417" s="104"/>
      <c r="K417" s="104"/>
      <c r="L417" s="71"/>
    </row>
    <row r="418" outlineLevel="2">
      <c r="A418" s="96" t="str">
        <f t="shared" si="41"/>
        <v/>
      </c>
      <c r="B418" s="98">
        <f t="shared" si="45"/>
        <v>0</v>
      </c>
      <c r="C418" s="97" t="str">
        <f t="shared" si="42"/>
        <v/>
      </c>
      <c r="D418" s="98" t="str">
        <f t="shared" si="43"/>
        <v/>
      </c>
      <c r="E418" s="98">
        <f t="shared" si="44"/>
        <v>0</v>
      </c>
      <c r="G418" s="85"/>
      <c r="H418" s="85"/>
      <c r="I418" s="42"/>
      <c r="J418" s="104"/>
      <c r="K418" s="104"/>
      <c r="L418" s="71"/>
    </row>
    <row r="419" outlineLevel="2">
      <c r="A419" s="96" t="str">
        <f t="shared" si="41"/>
        <v/>
      </c>
      <c r="B419" s="98">
        <f t="shared" si="45"/>
        <v>0</v>
      </c>
      <c r="C419" s="97" t="str">
        <f t="shared" si="42"/>
        <v/>
      </c>
      <c r="D419" s="98" t="str">
        <f t="shared" si="43"/>
        <v/>
      </c>
      <c r="E419" s="98">
        <f t="shared" si="44"/>
        <v>0</v>
      </c>
      <c r="G419" s="85"/>
      <c r="H419" s="85"/>
      <c r="I419" s="42"/>
      <c r="J419" s="104"/>
      <c r="K419" s="104"/>
      <c r="L419" s="71"/>
    </row>
    <row r="420" outlineLevel="2">
      <c r="A420" s="96" t="str">
        <f t="shared" si="41"/>
        <v/>
      </c>
      <c r="B420" s="98">
        <f t="shared" si="45"/>
        <v>0</v>
      </c>
      <c r="C420" s="97" t="str">
        <f t="shared" si="42"/>
        <v/>
      </c>
      <c r="D420" s="98" t="str">
        <f t="shared" si="43"/>
        <v/>
      </c>
      <c r="E420" s="98">
        <f t="shared" si="44"/>
        <v>0</v>
      </c>
      <c r="G420" s="85"/>
      <c r="H420" s="85"/>
      <c r="I420" s="42"/>
      <c r="J420" s="104"/>
      <c r="K420" s="104"/>
      <c r="L420" s="102"/>
    </row>
    <row r="421" outlineLevel="2">
      <c r="A421" s="96" t="str">
        <f t="shared" si="41"/>
        <v/>
      </c>
      <c r="B421" s="98">
        <f t="shared" si="45"/>
        <v>0</v>
      </c>
      <c r="C421" s="97" t="str">
        <f t="shared" si="42"/>
        <v/>
      </c>
      <c r="D421" s="98" t="str">
        <f t="shared" si="43"/>
        <v/>
      </c>
      <c r="E421" s="98">
        <f t="shared" si="44"/>
        <v>0</v>
      </c>
      <c r="G421" s="85"/>
      <c r="H421" s="85"/>
      <c r="I421" s="42"/>
      <c r="J421" s="104"/>
      <c r="K421" s="104"/>
      <c r="L421" s="71"/>
    </row>
    <row r="422" outlineLevel="2">
      <c r="A422" s="96" t="str">
        <f t="shared" si="41"/>
        <v/>
      </c>
      <c r="B422" s="98">
        <f t="shared" si="45"/>
        <v>0</v>
      </c>
      <c r="C422" s="97" t="str">
        <f t="shared" si="42"/>
        <v/>
      </c>
      <c r="D422" s="98" t="str">
        <f t="shared" si="43"/>
        <v/>
      </c>
      <c r="E422" s="98">
        <f t="shared" si="44"/>
        <v>0</v>
      </c>
      <c r="G422" s="85"/>
      <c r="H422" s="85"/>
      <c r="I422" s="42"/>
      <c r="J422" s="104"/>
      <c r="K422" s="104"/>
      <c r="L422" s="71"/>
    </row>
    <row r="423" outlineLevel="2">
      <c r="A423" s="96" t="str">
        <f t="shared" si="41"/>
        <v/>
      </c>
      <c r="B423" s="98">
        <f t="shared" si="45"/>
        <v>0</v>
      </c>
      <c r="C423" s="97" t="str">
        <f t="shared" si="42"/>
        <v/>
      </c>
      <c r="D423" s="98" t="str">
        <f t="shared" si="43"/>
        <v/>
      </c>
      <c r="E423" s="98">
        <f t="shared" si="44"/>
        <v>0</v>
      </c>
      <c r="G423" s="85"/>
      <c r="H423" s="85"/>
      <c r="I423" s="42"/>
      <c r="J423" s="104"/>
      <c r="K423" s="104"/>
      <c r="L423" s="71"/>
    </row>
    <row r="424" outlineLevel="2">
      <c r="A424" s="96" t="str">
        <f t="shared" si="41"/>
        <v/>
      </c>
      <c r="B424" s="98">
        <f t="shared" si="45"/>
        <v>0</v>
      </c>
      <c r="C424" s="97" t="str">
        <f t="shared" si="42"/>
        <v/>
      </c>
      <c r="D424" s="98" t="str">
        <f t="shared" si="43"/>
        <v/>
      </c>
      <c r="E424" s="98">
        <f t="shared" si="44"/>
        <v>0</v>
      </c>
      <c r="G424" s="85"/>
      <c r="H424" s="85"/>
      <c r="I424" s="42"/>
      <c r="J424" s="104"/>
      <c r="K424" s="104"/>
      <c r="L424" s="71"/>
    </row>
    <row r="425" outlineLevel="2">
      <c r="A425" s="96" t="str">
        <f t="shared" si="41"/>
        <v/>
      </c>
      <c r="B425" s="98">
        <f t="shared" si="45"/>
        <v>0</v>
      </c>
      <c r="C425" s="97" t="str">
        <f t="shared" si="42"/>
        <v/>
      </c>
      <c r="D425" s="98" t="str">
        <f t="shared" si="43"/>
        <v/>
      </c>
      <c r="E425" s="98">
        <f t="shared" si="44"/>
        <v>0</v>
      </c>
      <c r="G425" s="85"/>
      <c r="H425" s="85"/>
      <c r="I425" s="42"/>
      <c r="J425" s="104"/>
      <c r="K425" s="104"/>
      <c r="L425" s="102"/>
    </row>
    <row r="426" outlineLevel="2">
      <c r="A426" s="96" t="str">
        <f t="shared" si="41"/>
        <v/>
      </c>
      <c r="B426" s="98">
        <f t="shared" si="45"/>
        <v>0</v>
      </c>
      <c r="C426" s="97" t="str">
        <f t="shared" si="42"/>
        <v/>
      </c>
      <c r="D426" s="98" t="str">
        <f t="shared" si="43"/>
        <v/>
      </c>
      <c r="E426" s="98">
        <f t="shared" si="44"/>
        <v>0</v>
      </c>
      <c r="G426" s="85"/>
      <c r="H426" s="85"/>
      <c r="I426" s="42"/>
      <c r="J426" s="104"/>
      <c r="K426" s="104"/>
      <c r="L426" s="102"/>
    </row>
    <row r="427" outlineLevel="2">
      <c r="A427" s="96" t="str">
        <f t="shared" si="41"/>
        <v/>
      </c>
      <c r="B427" s="98">
        <f t="shared" si="45"/>
        <v>0</v>
      </c>
      <c r="C427" s="97" t="str">
        <f t="shared" si="42"/>
        <v/>
      </c>
      <c r="D427" s="98" t="str">
        <f t="shared" si="43"/>
        <v/>
      </c>
      <c r="E427" s="98">
        <f t="shared" si="44"/>
        <v>0</v>
      </c>
      <c r="G427" s="85"/>
      <c r="H427" s="85"/>
      <c r="I427" s="42"/>
      <c r="J427" s="104"/>
      <c r="K427" s="104"/>
      <c r="L427" s="71"/>
    </row>
    <row r="428" outlineLevel="2">
      <c r="A428" s="39"/>
      <c r="B428" s="39"/>
      <c r="C428" s="39"/>
      <c r="D428" s="39"/>
      <c r="E428" s="39"/>
      <c r="F428" s="39" t="s">
        <v>181</v>
      </c>
      <c r="G428" s="51" t="str">
        <f>if(G376=TRUE,0,if(G375=FALSE,(SUM(B378:B427)+SUM(E378:E427)),999999))</f>
        <v>#REF!</v>
      </c>
      <c r="H428" s="76" t="s">
        <v>182</v>
      </c>
    </row>
    <row r="429" outlineLevel="2">
      <c r="A429" s="39"/>
      <c r="B429" s="39"/>
      <c r="C429" s="39"/>
      <c r="D429" s="39"/>
      <c r="E429" s="39"/>
      <c r="F429" s="39"/>
    </row>
    <row r="430" outlineLevel="1" collapsed="1">
      <c r="A430" s="39"/>
      <c r="B430" s="39"/>
      <c r="C430" s="39"/>
      <c r="D430" s="39"/>
      <c r="E430" s="39"/>
      <c r="F430" s="39">
        <v>9.2</v>
      </c>
      <c r="G430" s="52" t="str">
        <f>if(G4="","TBD",hlookup(G4,'Scored Components + Weights'!1:17,16,FALSE))</f>
        <v>#REF!</v>
      </c>
      <c r="H430" s="53"/>
      <c r="I430" s="53"/>
      <c r="J430" s="53"/>
      <c r="K430" s="54"/>
      <c r="L430" s="71" t="s">
        <v>183</v>
      </c>
    </row>
    <row r="431" hidden="1" outlineLevel="2">
      <c r="A431" s="93"/>
      <c r="B431" s="94"/>
      <c r="C431" s="93"/>
      <c r="D431" s="93"/>
      <c r="E431" s="93"/>
      <c r="F431" s="39"/>
      <c r="G431" s="87" t="b">
        <v>0</v>
      </c>
      <c r="H431" s="87" t="s">
        <v>103</v>
      </c>
      <c r="L431" s="71" t="s">
        <v>184</v>
      </c>
    </row>
    <row r="432" hidden="1" outlineLevel="2">
      <c r="A432" s="93"/>
      <c r="B432" s="94"/>
      <c r="C432" s="93"/>
      <c r="D432" s="93"/>
      <c r="E432" s="93"/>
      <c r="F432" s="39"/>
      <c r="G432" s="87" t="b">
        <v>0</v>
      </c>
      <c r="H432" s="87" t="s">
        <v>105</v>
      </c>
      <c r="L432" s="71" t="s">
        <v>185</v>
      </c>
    </row>
    <row r="433" hidden="1" outlineLevel="2">
      <c r="A433" s="93" t="s">
        <v>74</v>
      </c>
      <c r="B433" s="94" t="s">
        <v>107</v>
      </c>
      <c r="C433" s="93" t="s">
        <v>108</v>
      </c>
      <c r="D433" s="93" t="s">
        <v>109</v>
      </c>
      <c r="E433" s="93" t="s">
        <v>110</v>
      </c>
      <c r="F433" s="39">
        <v>9.3</v>
      </c>
      <c r="G433" s="87" t="s">
        <v>111</v>
      </c>
      <c r="H433" s="87" t="s">
        <v>112</v>
      </c>
      <c r="I433" s="86" t="s">
        <v>113</v>
      </c>
      <c r="J433" s="95" t="s">
        <v>114</v>
      </c>
      <c r="K433" s="95" t="s">
        <v>115</v>
      </c>
      <c r="L433" s="71"/>
    </row>
    <row r="434" hidden="1" outlineLevel="2">
      <c r="A434" s="96" t="str">
        <f t="shared" ref="A434:A483" si="46">if(G434="","",vlookup(G434,Tools!$A$8:$E$177,5,FALSE))</f>
        <v/>
      </c>
      <c r="B434" s="94" t="s">
        <v>41</v>
      </c>
      <c r="C434" s="97" t="str">
        <f t="shared" ref="C434:C483" si="47">if(H434="","",vlookup(H434,'Actions + Proxy Times'!$A$3:$E$118,5,FALSE)*I434)</f>
        <v/>
      </c>
      <c r="D434" s="98" t="str">
        <f t="shared" ref="D434:D483" si="48">if(C434&gt;0,"",sum(J434:K434)*I434)</f>
        <v/>
      </c>
      <c r="E434" s="98">
        <f t="shared" ref="E434:E483" si="49">if(C434&gt;0,C434*A434,D434*A434)</f>
        <v>0</v>
      </c>
      <c r="F434" s="39">
        <v>9.4</v>
      </c>
      <c r="G434" s="85"/>
      <c r="H434" s="85"/>
      <c r="I434" s="42"/>
      <c r="J434" s="42"/>
      <c r="K434" s="42"/>
      <c r="L434" s="71"/>
    </row>
    <row r="435" hidden="1" outlineLevel="2">
      <c r="A435" s="96" t="str">
        <f t="shared" si="46"/>
        <v/>
      </c>
      <c r="B435" s="98">
        <f t="shared" ref="B435:B483" si="50">if(G435="hand",0,if(G435=G434,0,1.44))</f>
        <v>0</v>
      </c>
      <c r="C435" s="97" t="str">
        <f t="shared" si="47"/>
        <v/>
      </c>
      <c r="D435" s="98" t="str">
        <f t="shared" si="48"/>
        <v/>
      </c>
      <c r="E435" s="98">
        <f t="shared" si="49"/>
        <v>0</v>
      </c>
      <c r="G435" s="85"/>
      <c r="H435" s="85"/>
      <c r="I435" s="42"/>
      <c r="J435" s="42"/>
      <c r="K435" s="42"/>
      <c r="L435" s="71"/>
    </row>
    <row r="436" hidden="1" outlineLevel="2">
      <c r="A436" s="96" t="str">
        <f t="shared" si="46"/>
        <v/>
      </c>
      <c r="B436" s="98">
        <f t="shared" si="50"/>
        <v>0</v>
      </c>
      <c r="C436" s="97" t="str">
        <f t="shared" si="47"/>
        <v/>
      </c>
      <c r="D436" s="98" t="str">
        <f t="shared" si="48"/>
        <v/>
      </c>
      <c r="E436" s="98">
        <f t="shared" si="49"/>
        <v>0</v>
      </c>
      <c r="G436" s="85"/>
      <c r="H436" s="85"/>
      <c r="I436" s="42"/>
      <c r="J436" s="104"/>
      <c r="K436" s="104"/>
      <c r="L436" s="71"/>
    </row>
    <row r="437" hidden="1" outlineLevel="2">
      <c r="A437" s="96" t="str">
        <f t="shared" si="46"/>
        <v/>
      </c>
      <c r="B437" s="98">
        <f t="shared" si="50"/>
        <v>0</v>
      </c>
      <c r="C437" s="97" t="str">
        <f t="shared" si="47"/>
        <v/>
      </c>
      <c r="D437" s="98" t="str">
        <f t="shared" si="48"/>
        <v/>
      </c>
      <c r="E437" s="98">
        <f t="shared" si="49"/>
        <v>0</v>
      </c>
      <c r="G437" s="85"/>
      <c r="H437" s="85"/>
      <c r="I437" s="42"/>
      <c r="J437" s="104"/>
      <c r="K437" s="104"/>
      <c r="L437" s="71"/>
    </row>
    <row r="438" hidden="1" outlineLevel="2">
      <c r="A438" s="96" t="str">
        <f t="shared" si="46"/>
        <v/>
      </c>
      <c r="B438" s="98">
        <f t="shared" si="50"/>
        <v>0</v>
      </c>
      <c r="C438" s="97" t="str">
        <f t="shared" si="47"/>
        <v/>
      </c>
      <c r="D438" s="98" t="str">
        <f t="shared" si="48"/>
        <v/>
      </c>
      <c r="E438" s="98">
        <f t="shared" si="49"/>
        <v>0</v>
      </c>
      <c r="G438" s="85"/>
      <c r="H438" s="85"/>
      <c r="I438" s="42"/>
      <c r="J438" s="42"/>
      <c r="K438" s="42"/>
      <c r="L438" s="71"/>
    </row>
    <row r="439" hidden="1" outlineLevel="2">
      <c r="A439" s="96" t="str">
        <f t="shared" si="46"/>
        <v/>
      </c>
      <c r="B439" s="98">
        <f t="shared" si="50"/>
        <v>0</v>
      </c>
      <c r="C439" s="97" t="str">
        <f t="shared" si="47"/>
        <v/>
      </c>
      <c r="D439" s="98" t="str">
        <f t="shared" si="48"/>
        <v/>
      </c>
      <c r="E439" s="98">
        <f t="shared" si="49"/>
        <v>0</v>
      </c>
      <c r="G439" s="85"/>
      <c r="H439" s="85"/>
      <c r="I439" s="42"/>
      <c r="J439" s="104"/>
      <c r="K439" s="104"/>
      <c r="L439" s="71"/>
    </row>
    <row r="440" hidden="1" outlineLevel="2">
      <c r="A440" s="96" t="str">
        <f t="shared" si="46"/>
        <v/>
      </c>
      <c r="B440" s="98">
        <f t="shared" si="50"/>
        <v>0</v>
      </c>
      <c r="C440" s="97" t="str">
        <f t="shared" si="47"/>
        <v/>
      </c>
      <c r="D440" s="98" t="str">
        <f t="shared" si="48"/>
        <v/>
      </c>
      <c r="E440" s="98">
        <f t="shared" si="49"/>
        <v>0</v>
      </c>
      <c r="G440" s="85"/>
      <c r="H440" s="85"/>
      <c r="I440" s="42"/>
      <c r="J440" s="104"/>
      <c r="K440" s="104"/>
      <c r="L440" s="102"/>
    </row>
    <row r="441" hidden="1" outlineLevel="2">
      <c r="A441" s="96" t="str">
        <f t="shared" si="46"/>
        <v/>
      </c>
      <c r="B441" s="98">
        <f t="shared" si="50"/>
        <v>0</v>
      </c>
      <c r="C441" s="97" t="str">
        <f t="shared" si="47"/>
        <v/>
      </c>
      <c r="D441" s="98" t="str">
        <f t="shared" si="48"/>
        <v/>
      </c>
      <c r="E441" s="98">
        <f t="shared" si="49"/>
        <v>0</v>
      </c>
      <c r="G441" s="85"/>
      <c r="H441" s="85"/>
      <c r="I441" s="42"/>
      <c r="J441" s="104"/>
      <c r="K441" s="104"/>
      <c r="L441" s="71"/>
    </row>
    <row r="442" hidden="1" outlineLevel="2">
      <c r="A442" s="96" t="str">
        <f t="shared" si="46"/>
        <v/>
      </c>
      <c r="B442" s="98">
        <f t="shared" si="50"/>
        <v>0</v>
      </c>
      <c r="C442" s="97" t="str">
        <f t="shared" si="47"/>
        <v/>
      </c>
      <c r="D442" s="98" t="str">
        <f t="shared" si="48"/>
        <v/>
      </c>
      <c r="E442" s="98">
        <f t="shared" si="49"/>
        <v>0</v>
      </c>
      <c r="G442" s="85"/>
      <c r="H442" s="85"/>
      <c r="I442" s="42"/>
      <c r="J442" s="104"/>
      <c r="K442" s="104"/>
      <c r="L442" s="71"/>
    </row>
    <row r="443" hidden="1" outlineLevel="2">
      <c r="A443" s="96" t="str">
        <f t="shared" si="46"/>
        <v/>
      </c>
      <c r="B443" s="98">
        <f t="shared" si="50"/>
        <v>0</v>
      </c>
      <c r="C443" s="97" t="str">
        <f t="shared" si="47"/>
        <v/>
      </c>
      <c r="D443" s="98" t="str">
        <f t="shared" si="48"/>
        <v/>
      </c>
      <c r="E443" s="98">
        <f t="shared" si="49"/>
        <v>0</v>
      </c>
      <c r="G443" s="85"/>
      <c r="H443" s="85"/>
      <c r="I443" s="42"/>
      <c r="J443" s="104"/>
      <c r="K443" s="104"/>
      <c r="L443" s="71"/>
    </row>
    <row r="444" hidden="1" outlineLevel="2">
      <c r="A444" s="96" t="str">
        <f t="shared" si="46"/>
        <v/>
      </c>
      <c r="B444" s="98">
        <f t="shared" si="50"/>
        <v>0</v>
      </c>
      <c r="C444" s="97" t="str">
        <f t="shared" si="47"/>
        <v/>
      </c>
      <c r="D444" s="98" t="str">
        <f t="shared" si="48"/>
        <v/>
      </c>
      <c r="E444" s="98">
        <f t="shared" si="49"/>
        <v>0</v>
      </c>
      <c r="G444" s="85"/>
      <c r="H444" s="85"/>
      <c r="I444" s="42"/>
      <c r="J444" s="104"/>
      <c r="K444" s="104"/>
      <c r="L444" s="102"/>
    </row>
    <row r="445" hidden="1" outlineLevel="2">
      <c r="A445" s="96" t="str">
        <f t="shared" si="46"/>
        <v/>
      </c>
      <c r="B445" s="98">
        <f t="shared" si="50"/>
        <v>0</v>
      </c>
      <c r="C445" s="97" t="str">
        <f t="shared" si="47"/>
        <v/>
      </c>
      <c r="D445" s="98" t="str">
        <f t="shared" si="48"/>
        <v/>
      </c>
      <c r="E445" s="98">
        <f t="shared" si="49"/>
        <v>0</v>
      </c>
      <c r="G445" s="85"/>
      <c r="H445" s="85"/>
      <c r="I445" s="42"/>
      <c r="J445" s="104"/>
      <c r="K445" s="104"/>
      <c r="L445" s="102"/>
    </row>
    <row r="446" hidden="1" outlineLevel="2">
      <c r="A446" s="96" t="str">
        <f t="shared" si="46"/>
        <v/>
      </c>
      <c r="B446" s="98">
        <f t="shared" si="50"/>
        <v>0</v>
      </c>
      <c r="C446" s="97" t="str">
        <f t="shared" si="47"/>
        <v/>
      </c>
      <c r="D446" s="98" t="str">
        <f t="shared" si="48"/>
        <v/>
      </c>
      <c r="E446" s="98">
        <f t="shared" si="49"/>
        <v>0</v>
      </c>
      <c r="G446" s="100"/>
      <c r="H446" s="100"/>
      <c r="I446" s="42"/>
      <c r="J446" s="42"/>
      <c r="K446" s="42"/>
      <c r="L446" s="71"/>
    </row>
    <row r="447" hidden="1" outlineLevel="2">
      <c r="A447" s="96" t="str">
        <f t="shared" si="46"/>
        <v/>
      </c>
      <c r="B447" s="98">
        <f t="shared" si="50"/>
        <v>0</v>
      </c>
      <c r="C447" s="97" t="str">
        <f t="shared" si="47"/>
        <v/>
      </c>
      <c r="D447" s="98" t="str">
        <f t="shared" si="48"/>
        <v/>
      </c>
      <c r="E447" s="98">
        <f t="shared" si="49"/>
        <v>0</v>
      </c>
      <c r="G447" s="100"/>
      <c r="H447" s="100"/>
      <c r="I447" s="101"/>
      <c r="J447" s="104"/>
      <c r="K447" s="104"/>
      <c r="L447" s="71"/>
    </row>
    <row r="448" hidden="1" outlineLevel="2">
      <c r="A448" s="96" t="str">
        <f t="shared" si="46"/>
        <v/>
      </c>
      <c r="B448" s="98">
        <f t="shared" si="50"/>
        <v>0</v>
      </c>
      <c r="C448" s="97" t="str">
        <f t="shared" si="47"/>
        <v/>
      </c>
      <c r="D448" s="98" t="str">
        <f t="shared" si="48"/>
        <v/>
      </c>
      <c r="E448" s="98">
        <f t="shared" si="49"/>
        <v>0</v>
      </c>
      <c r="G448" s="85"/>
      <c r="H448" s="100"/>
      <c r="I448" s="101"/>
      <c r="J448" s="104"/>
      <c r="K448" s="104"/>
      <c r="L448" s="71"/>
    </row>
    <row r="449" hidden="1" outlineLevel="2">
      <c r="A449" s="96" t="str">
        <f t="shared" si="46"/>
        <v/>
      </c>
      <c r="B449" s="98">
        <f t="shared" si="50"/>
        <v>0</v>
      </c>
      <c r="C449" s="97" t="str">
        <f t="shared" si="47"/>
        <v/>
      </c>
      <c r="D449" s="98" t="str">
        <f t="shared" si="48"/>
        <v/>
      </c>
      <c r="E449" s="98">
        <f t="shared" si="49"/>
        <v>0</v>
      </c>
      <c r="G449" s="85"/>
      <c r="H449" s="85"/>
      <c r="I449" s="42"/>
      <c r="J449" s="104"/>
      <c r="K449" s="104"/>
      <c r="L449" s="71"/>
    </row>
    <row r="450" hidden="1" outlineLevel="2">
      <c r="A450" s="96" t="str">
        <f t="shared" si="46"/>
        <v/>
      </c>
      <c r="B450" s="98">
        <f t="shared" si="50"/>
        <v>0</v>
      </c>
      <c r="C450" s="97" t="str">
        <f t="shared" si="47"/>
        <v/>
      </c>
      <c r="D450" s="98" t="str">
        <f t="shared" si="48"/>
        <v/>
      </c>
      <c r="E450" s="98">
        <f t="shared" si="49"/>
        <v>0</v>
      </c>
      <c r="G450" s="85"/>
      <c r="H450" s="85"/>
      <c r="I450" s="42"/>
      <c r="J450" s="104"/>
      <c r="K450" s="104"/>
      <c r="L450" s="71"/>
    </row>
    <row r="451" hidden="1" outlineLevel="2">
      <c r="A451" s="96" t="str">
        <f t="shared" si="46"/>
        <v/>
      </c>
      <c r="B451" s="98">
        <f t="shared" si="50"/>
        <v>0</v>
      </c>
      <c r="C451" s="97" t="str">
        <f t="shared" si="47"/>
        <v/>
      </c>
      <c r="D451" s="98" t="str">
        <f t="shared" si="48"/>
        <v/>
      </c>
      <c r="E451" s="98">
        <f t="shared" si="49"/>
        <v>0</v>
      </c>
      <c r="G451" s="85"/>
      <c r="H451" s="85"/>
      <c r="I451" s="42"/>
      <c r="J451" s="104"/>
      <c r="K451" s="104"/>
      <c r="L451" s="71"/>
    </row>
    <row r="452" hidden="1" outlineLevel="2">
      <c r="A452" s="96" t="str">
        <f t="shared" si="46"/>
        <v/>
      </c>
      <c r="B452" s="98">
        <f t="shared" si="50"/>
        <v>0</v>
      </c>
      <c r="C452" s="97" t="str">
        <f t="shared" si="47"/>
        <v/>
      </c>
      <c r="D452" s="98" t="str">
        <f t="shared" si="48"/>
        <v/>
      </c>
      <c r="E452" s="98">
        <f t="shared" si="49"/>
        <v>0</v>
      </c>
      <c r="G452" s="85"/>
      <c r="H452" s="85"/>
      <c r="I452" s="42"/>
      <c r="J452" s="104"/>
      <c r="K452" s="104"/>
      <c r="L452" s="102"/>
    </row>
    <row r="453" hidden="1" outlineLevel="2">
      <c r="A453" s="96" t="str">
        <f t="shared" si="46"/>
        <v/>
      </c>
      <c r="B453" s="98">
        <f t="shared" si="50"/>
        <v>0</v>
      </c>
      <c r="C453" s="97" t="str">
        <f t="shared" si="47"/>
        <v/>
      </c>
      <c r="D453" s="98" t="str">
        <f t="shared" si="48"/>
        <v/>
      </c>
      <c r="E453" s="98">
        <f t="shared" si="49"/>
        <v>0</v>
      </c>
      <c r="G453" s="85"/>
      <c r="H453" s="85"/>
      <c r="I453" s="42"/>
      <c r="J453" s="104"/>
      <c r="K453" s="104"/>
      <c r="L453" s="71"/>
    </row>
    <row r="454" hidden="1" outlineLevel="2">
      <c r="A454" s="96" t="str">
        <f t="shared" si="46"/>
        <v/>
      </c>
      <c r="B454" s="98">
        <f t="shared" si="50"/>
        <v>0</v>
      </c>
      <c r="C454" s="97" t="str">
        <f t="shared" si="47"/>
        <v/>
      </c>
      <c r="D454" s="98" t="str">
        <f t="shared" si="48"/>
        <v/>
      </c>
      <c r="E454" s="98">
        <f t="shared" si="49"/>
        <v>0</v>
      </c>
      <c r="G454" s="85"/>
      <c r="H454" s="85"/>
      <c r="I454" s="42"/>
      <c r="J454" s="104"/>
      <c r="K454" s="104"/>
      <c r="L454" s="71"/>
    </row>
    <row r="455" hidden="1" outlineLevel="2">
      <c r="A455" s="96" t="str">
        <f t="shared" si="46"/>
        <v/>
      </c>
      <c r="B455" s="98">
        <f t="shared" si="50"/>
        <v>0</v>
      </c>
      <c r="C455" s="97" t="str">
        <f t="shared" si="47"/>
        <v/>
      </c>
      <c r="D455" s="98" t="str">
        <f t="shared" si="48"/>
        <v/>
      </c>
      <c r="E455" s="98">
        <f t="shared" si="49"/>
        <v>0</v>
      </c>
      <c r="G455" s="85"/>
      <c r="H455" s="85"/>
      <c r="I455" s="42"/>
      <c r="J455" s="104"/>
      <c r="K455" s="104"/>
      <c r="L455" s="71"/>
    </row>
    <row r="456" hidden="1" outlineLevel="2">
      <c r="A456" s="96" t="str">
        <f t="shared" si="46"/>
        <v/>
      </c>
      <c r="B456" s="98">
        <f t="shared" si="50"/>
        <v>0</v>
      </c>
      <c r="C456" s="97" t="str">
        <f t="shared" si="47"/>
        <v/>
      </c>
      <c r="D456" s="98" t="str">
        <f t="shared" si="48"/>
        <v/>
      </c>
      <c r="E456" s="98">
        <f t="shared" si="49"/>
        <v>0</v>
      </c>
      <c r="G456" s="85"/>
      <c r="H456" s="85"/>
      <c r="I456" s="42"/>
      <c r="J456" s="104"/>
      <c r="K456" s="104"/>
      <c r="L456" s="71"/>
    </row>
    <row r="457" hidden="1" outlineLevel="2">
      <c r="A457" s="96" t="str">
        <f t="shared" si="46"/>
        <v/>
      </c>
      <c r="B457" s="98">
        <f t="shared" si="50"/>
        <v>0</v>
      </c>
      <c r="C457" s="97" t="str">
        <f t="shared" si="47"/>
        <v/>
      </c>
      <c r="D457" s="98" t="str">
        <f t="shared" si="48"/>
        <v/>
      </c>
      <c r="E457" s="98">
        <f t="shared" si="49"/>
        <v>0</v>
      </c>
      <c r="G457" s="85"/>
      <c r="H457" s="85"/>
      <c r="I457" s="42"/>
      <c r="J457" s="104"/>
      <c r="K457" s="104"/>
      <c r="L457" s="102"/>
    </row>
    <row r="458" hidden="1" outlineLevel="2">
      <c r="A458" s="96" t="str">
        <f t="shared" si="46"/>
        <v/>
      </c>
      <c r="B458" s="98">
        <f t="shared" si="50"/>
        <v>0</v>
      </c>
      <c r="C458" s="97" t="str">
        <f t="shared" si="47"/>
        <v/>
      </c>
      <c r="D458" s="98" t="str">
        <f t="shared" si="48"/>
        <v/>
      </c>
      <c r="E458" s="98">
        <f t="shared" si="49"/>
        <v>0</v>
      </c>
      <c r="G458" s="85"/>
      <c r="H458" s="85"/>
      <c r="I458" s="42"/>
      <c r="J458" s="104"/>
      <c r="K458" s="104"/>
      <c r="L458" s="102"/>
    </row>
    <row r="459" hidden="1" outlineLevel="2">
      <c r="A459" s="96" t="str">
        <f t="shared" si="46"/>
        <v/>
      </c>
      <c r="B459" s="98">
        <f t="shared" si="50"/>
        <v>0</v>
      </c>
      <c r="C459" s="97" t="str">
        <f t="shared" si="47"/>
        <v/>
      </c>
      <c r="D459" s="98" t="str">
        <f t="shared" si="48"/>
        <v/>
      </c>
      <c r="E459" s="98">
        <f t="shared" si="49"/>
        <v>0</v>
      </c>
      <c r="G459" s="85"/>
      <c r="H459" s="85"/>
      <c r="I459" s="42"/>
      <c r="J459" s="104"/>
      <c r="K459" s="104"/>
      <c r="L459" s="71"/>
    </row>
    <row r="460" hidden="1" outlineLevel="2">
      <c r="A460" s="96" t="str">
        <f t="shared" si="46"/>
        <v/>
      </c>
      <c r="B460" s="98">
        <f t="shared" si="50"/>
        <v>0</v>
      </c>
      <c r="C460" s="97" t="str">
        <f t="shared" si="47"/>
        <v/>
      </c>
      <c r="D460" s="98" t="str">
        <f t="shared" si="48"/>
        <v/>
      </c>
      <c r="E460" s="98">
        <f t="shared" si="49"/>
        <v>0</v>
      </c>
      <c r="G460" s="85"/>
      <c r="H460" s="85"/>
      <c r="I460" s="42"/>
      <c r="J460" s="104"/>
      <c r="K460" s="104"/>
      <c r="L460" s="102"/>
    </row>
    <row r="461" hidden="1" outlineLevel="2">
      <c r="A461" s="96" t="str">
        <f t="shared" si="46"/>
        <v/>
      </c>
      <c r="B461" s="98">
        <f t="shared" si="50"/>
        <v>0</v>
      </c>
      <c r="C461" s="97" t="str">
        <f t="shared" si="47"/>
        <v/>
      </c>
      <c r="D461" s="98" t="str">
        <f t="shared" si="48"/>
        <v/>
      </c>
      <c r="E461" s="98">
        <f t="shared" si="49"/>
        <v>0</v>
      </c>
      <c r="G461" s="85"/>
      <c r="H461" s="85"/>
      <c r="I461" s="42"/>
      <c r="J461" s="42"/>
      <c r="K461" s="42"/>
      <c r="L461" s="71"/>
    </row>
    <row r="462" hidden="1" outlineLevel="2">
      <c r="A462" s="96" t="str">
        <f t="shared" si="46"/>
        <v/>
      </c>
      <c r="B462" s="98">
        <f t="shared" si="50"/>
        <v>0</v>
      </c>
      <c r="C462" s="97" t="str">
        <f t="shared" si="47"/>
        <v/>
      </c>
      <c r="D462" s="98" t="str">
        <f t="shared" si="48"/>
        <v/>
      </c>
      <c r="E462" s="98">
        <f t="shared" si="49"/>
        <v>0</v>
      </c>
      <c r="G462" s="85"/>
      <c r="H462" s="85"/>
      <c r="I462" s="42"/>
      <c r="J462" s="104"/>
      <c r="K462" s="104"/>
      <c r="L462" s="71"/>
    </row>
    <row r="463" hidden="1" outlineLevel="2">
      <c r="A463" s="96" t="str">
        <f t="shared" si="46"/>
        <v/>
      </c>
      <c r="B463" s="98">
        <f t="shared" si="50"/>
        <v>0</v>
      </c>
      <c r="C463" s="97" t="str">
        <f t="shared" si="47"/>
        <v/>
      </c>
      <c r="D463" s="98" t="str">
        <f t="shared" si="48"/>
        <v/>
      </c>
      <c r="E463" s="98">
        <f t="shared" si="49"/>
        <v>0</v>
      </c>
      <c r="G463" s="85"/>
      <c r="H463" s="85"/>
      <c r="I463" s="42"/>
      <c r="J463" s="104"/>
      <c r="K463" s="104"/>
      <c r="L463" s="71"/>
    </row>
    <row r="464" hidden="1" outlineLevel="2">
      <c r="A464" s="96" t="str">
        <f t="shared" si="46"/>
        <v/>
      </c>
      <c r="B464" s="98">
        <f t="shared" si="50"/>
        <v>0</v>
      </c>
      <c r="C464" s="97" t="str">
        <f t="shared" si="47"/>
        <v/>
      </c>
      <c r="D464" s="98" t="str">
        <f t="shared" si="48"/>
        <v/>
      </c>
      <c r="E464" s="98">
        <f t="shared" si="49"/>
        <v>0</v>
      </c>
      <c r="G464" s="85"/>
      <c r="H464" s="85"/>
      <c r="I464" s="42"/>
      <c r="J464" s="104"/>
      <c r="K464" s="104"/>
      <c r="L464" s="71"/>
    </row>
    <row r="465" hidden="1" outlineLevel="2">
      <c r="A465" s="96" t="str">
        <f t="shared" si="46"/>
        <v/>
      </c>
      <c r="B465" s="98">
        <f t="shared" si="50"/>
        <v>0</v>
      </c>
      <c r="C465" s="97" t="str">
        <f t="shared" si="47"/>
        <v/>
      </c>
      <c r="D465" s="98" t="str">
        <f t="shared" si="48"/>
        <v/>
      </c>
      <c r="E465" s="98">
        <f t="shared" si="49"/>
        <v>0</v>
      </c>
      <c r="G465" s="85"/>
      <c r="H465" s="85"/>
      <c r="I465" s="42"/>
      <c r="J465" s="104"/>
      <c r="K465" s="104"/>
      <c r="L465" s="71"/>
    </row>
    <row r="466" hidden="1" outlineLevel="2">
      <c r="A466" s="96" t="str">
        <f t="shared" si="46"/>
        <v/>
      </c>
      <c r="B466" s="98">
        <f t="shared" si="50"/>
        <v>0</v>
      </c>
      <c r="C466" s="97" t="str">
        <f t="shared" si="47"/>
        <v/>
      </c>
      <c r="D466" s="98" t="str">
        <f t="shared" si="48"/>
        <v/>
      </c>
      <c r="E466" s="98">
        <f t="shared" si="49"/>
        <v>0</v>
      </c>
      <c r="G466" s="85"/>
      <c r="H466" s="85"/>
      <c r="I466" s="42"/>
      <c r="J466" s="104"/>
      <c r="K466" s="104"/>
      <c r="L466" s="102"/>
    </row>
    <row r="467" hidden="1" outlineLevel="2">
      <c r="A467" s="96" t="str">
        <f t="shared" si="46"/>
        <v/>
      </c>
      <c r="B467" s="98">
        <f t="shared" si="50"/>
        <v>0</v>
      </c>
      <c r="C467" s="97" t="str">
        <f t="shared" si="47"/>
        <v/>
      </c>
      <c r="D467" s="98" t="str">
        <f t="shared" si="48"/>
        <v/>
      </c>
      <c r="E467" s="98">
        <f t="shared" si="49"/>
        <v>0</v>
      </c>
      <c r="G467" s="85"/>
      <c r="H467" s="85"/>
      <c r="I467" s="42"/>
      <c r="J467" s="104"/>
      <c r="K467" s="104"/>
      <c r="L467" s="71"/>
    </row>
    <row r="468" hidden="1" outlineLevel="2">
      <c r="A468" s="96" t="str">
        <f t="shared" si="46"/>
        <v/>
      </c>
      <c r="B468" s="98">
        <f t="shared" si="50"/>
        <v>0</v>
      </c>
      <c r="C468" s="97" t="str">
        <f t="shared" si="47"/>
        <v/>
      </c>
      <c r="D468" s="98" t="str">
        <f t="shared" si="48"/>
        <v/>
      </c>
      <c r="E468" s="98">
        <f t="shared" si="49"/>
        <v>0</v>
      </c>
      <c r="G468" s="85"/>
      <c r="H468" s="85"/>
      <c r="I468" s="42"/>
      <c r="J468" s="104"/>
      <c r="K468" s="104"/>
      <c r="L468" s="102"/>
    </row>
    <row r="469" hidden="1" outlineLevel="2">
      <c r="A469" s="96" t="str">
        <f t="shared" si="46"/>
        <v/>
      </c>
      <c r="B469" s="98">
        <f t="shared" si="50"/>
        <v>0</v>
      </c>
      <c r="C469" s="97" t="str">
        <f t="shared" si="47"/>
        <v/>
      </c>
      <c r="D469" s="98" t="str">
        <f t="shared" si="48"/>
        <v/>
      </c>
      <c r="E469" s="98">
        <f t="shared" si="49"/>
        <v>0</v>
      </c>
      <c r="G469" s="85"/>
      <c r="H469" s="85"/>
      <c r="I469" s="42"/>
      <c r="J469" s="104"/>
      <c r="K469" s="104"/>
      <c r="L469" s="102"/>
    </row>
    <row r="470" hidden="1" outlineLevel="2">
      <c r="A470" s="96" t="str">
        <f t="shared" si="46"/>
        <v/>
      </c>
      <c r="B470" s="98">
        <f t="shared" si="50"/>
        <v>0</v>
      </c>
      <c r="C470" s="97" t="str">
        <f t="shared" si="47"/>
        <v/>
      </c>
      <c r="D470" s="98" t="str">
        <f t="shared" si="48"/>
        <v/>
      </c>
      <c r="E470" s="98">
        <f t="shared" si="49"/>
        <v>0</v>
      </c>
      <c r="G470" s="100"/>
      <c r="H470" s="100"/>
      <c r="I470" s="42"/>
      <c r="J470" s="42"/>
      <c r="K470" s="42"/>
      <c r="L470" s="71"/>
    </row>
    <row r="471" hidden="1" outlineLevel="2">
      <c r="A471" s="96" t="str">
        <f t="shared" si="46"/>
        <v/>
      </c>
      <c r="B471" s="98">
        <f t="shared" si="50"/>
        <v>0</v>
      </c>
      <c r="C471" s="97" t="str">
        <f t="shared" si="47"/>
        <v/>
      </c>
      <c r="D471" s="98" t="str">
        <f t="shared" si="48"/>
        <v/>
      </c>
      <c r="E471" s="98">
        <f t="shared" si="49"/>
        <v>0</v>
      </c>
      <c r="G471" s="100"/>
      <c r="H471" s="100"/>
      <c r="I471" s="101"/>
      <c r="J471" s="104"/>
      <c r="K471" s="104"/>
      <c r="L471" s="71"/>
    </row>
    <row r="472" hidden="1" outlineLevel="2">
      <c r="A472" s="96" t="str">
        <f t="shared" si="46"/>
        <v/>
      </c>
      <c r="B472" s="98">
        <f t="shared" si="50"/>
        <v>0</v>
      </c>
      <c r="C472" s="97" t="str">
        <f t="shared" si="47"/>
        <v/>
      </c>
      <c r="D472" s="98" t="str">
        <f t="shared" si="48"/>
        <v/>
      </c>
      <c r="E472" s="98">
        <f t="shared" si="49"/>
        <v>0</v>
      </c>
      <c r="G472" s="85"/>
      <c r="H472" s="100"/>
      <c r="I472" s="101"/>
      <c r="J472" s="104"/>
      <c r="K472" s="104"/>
      <c r="L472" s="71"/>
    </row>
    <row r="473" hidden="1" outlineLevel="2">
      <c r="A473" s="96" t="str">
        <f t="shared" si="46"/>
        <v/>
      </c>
      <c r="B473" s="98">
        <f t="shared" si="50"/>
        <v>0</v>
      </c>
      <c r="C473" s="97" t="str">
        <f t="shared" si="47"/>
        <v/>
      </c>
      <c r="D473" s="98" t="str">
        <f t="shared" si="48"/>
        <v/>
      </c>
      <c r="E473" s="98">
        <f t="shared" si="49"/>
        <v>0</v>
      </c>
      <c r="G473" s="85"/>
      <c r="H473" s="85"/>
      <c r="I473" s="42"/>
      <c r="J473" s="104"/>
      <c r="K473" s="104"/>
      <c r="L473" s="71"/>
    </row>
    <row r="474" hidden="1" outlineLevel="2">
      <c r="A474" s="96" t="str">
        <f t="shared" si="46"/>
        <v/>
      </c>
      <c r="B474" s="98">
        <f t="shared" si="50"/>
        <v>0</v>
      </c>
      <c r="C474" s="97" t="str">
        <f t="shared" si="47"/>
        <v/>
      </c>
      <c r="D474" s="98" t="str">
        <f t="shared" si="48"/>
        <v/>
      </c>
      <c r="E474" s="98">
        <f t="shared" si="49"/>
        <v>0</v>
      </c>
      <c r="G474" s="85"/>
      <c r="H474" s="85"/>
      <c r="I474" s="42"/>
      <c r="J474" s="104"/>
      <c r="K474" s="104"/>
      <c r="L474" s="71"/>
    </row>
    <row r="475" hidden="1" outlineLevel="2">
      <c r="A475" s="96" t="str">
        <f t="shared" si="46"/>
        <v/>
      </c>
      <c r="B475" s="98">
        <f t="shared" si="50"/>
        <v>0</v>
      </c>
      <c r="C475" s="97" t="str">
        <f t="shared" si="47"/>
        <v/>
      </c>
      <c r="D475" s="98" t="str">
        <f t="shared" si="48"/>
        <v/>
      </c>
      <c r="E475" s="98">
        <f t="shared" si="49"/>
        <v>0</v>
      </c>
      <c r="G475" s="85"/>
      <c r="H475" s="85"/>
      <c r="I475" s="42"/>
      <c r="J475" s="104"/>
      <c r="K475" s="104"/>
      <c r="L475" s="71"/>
    </row>
    <row r="476" hidden="1" outlineLevel="2">
      <c r="A476" s="96" t="str">
        <f t="shared" si="46"/>
        <v/>
      </c>
      <c r="B476" s="98">
        <f t="shared" si="50"/>
        <v>0</v>
      </c>
      <c r="C476" s="97" t="str">
        <f t="shared" si="47"/>
        <v/>
      </c>
      <c r="D476" s="98" t="str">
        <f t="shared" si="48"/>
        <v/>
      </c>
      <c r="E476" s="98">
        <f t="shared" si="49"/>
        <v>0</v>
      </c>
      <c r="G476" s="85"/>
      <c r="H476" s="85"/>
      <c r="I476" s="42"/>
      <c r="J476" s="104"/>
      <c r="K476" s="104"/>
      <c r="L476" s="102"/>
    </row>
    <row r="477" hidden="1" outlineLevel="2">
      <c r="A477" s="96" t="str">
        <f t="shared" si="46"/>
        <v/>
      </c>
      <c r="B477" s="98">
        <f t="shared" si="50"/>
        <v>0</v>
      </c>
      <c r="C477" s="97" t="str">
        <f t="shared" si="47"/>
        <v/>
      </c>
      <c r="D477" s="98" t="str">
        <f t="shared" si="48"/>
        <v/>
      </c>
      <c r="E477" s="98">
        <f t="shared" si="49"/>
        <v>0</v>
      </c>
      <c r="G477" s="85"/>
      <c r="H477" s="85"/>
      <c r="I477" s="42"/>
      <c r="J477" s="104"/>
      <c r="K477" s="104"/>
      <c r="L477" s="71"/>
    </row>
    <row r="478" hidden="1" outlineLevel="2">
      <c r="A478" s="96" t="str">
        <f t="shared" si="46"/>
        <v/>
      </c>
      <c r="B478" s="98">
        <f t="shared" si="50"/>
        <v>0</v>
      </c>
      <c r="C478" s="97" t="str">
        <f t="shared" si="47"/>
        <v/>
      </c>
      <c r="D478" s="98" t="str">
        <f t="shared" si="48"/>
        <v/>
      </c>
      <c r="E478" s="98">
        <f t="shared" si="49"/>
        <v>0</v>
      </c>
      <c r="G478" s="85"/>
      <c r="H478" s="85"/>
      <c r="I478" s="42"/>
      <c r="J478" s="104"/>
      <c r="K478" s="104"/>
      <c r="L478" s="71"/>
    </row>
    <row r="479" hidden="1" outlineLevel="2">
      <c r="A479" s="96" t="str">
        <f t="shared" si="46"/>
        <v/>
      </c>
      <c r="B479" s="98">
        <f t="shared" si="50"/>
        <v>0</v>
      </c>
      <c r="C479" s="97" t="str">
        <f t="shared" si="47"/>
        <v/>
      </c>
      <c r="D479" s="98" t="str">
        <f t="shared" si="48"/>
        <v/>
      </c>
      <c r="E479" s="98">
        <f t="shared" si="49"/>
        <v>0</v>
      </c>
      <c r="G479" s="85"/>
      <c r="H479" s="85"/>
      <c r="I479" s="42"/>
      <c r="J479" s="104"/>
      <c r="K479" s="104"/>
      <c r="L479" s="71"/>
    </row>
    <row r="480" hidden="1" outlineLevel="2">
      <c r="A480" s="96" t="str">
        <f t="shared" si="46"/>
        <v/>
      </c>
      <c r="B480" s="98">
        <f t="shared" si="50"/>
        <v>0</v>
      </c>
      <c r="C480" s="97" t="str">
        <f t="shared" si="47"/>
        <v/>
      </c>
      <c r="D480" s="98" t="str">
        <f t="shared" si="48"/>
        <v/>
      </c>
      <c r="E480" s="98">
        <f t="shared" si="49"/>
        <v>0</v>
      </c>
      <c r="G480" s="85"/>
      <c r="H480" s="85"/>
      <c r="I480" s="42"/>
      <c r="J480" s="104"/>
      <c r="K480" s="104"/>
      <c r="L480" s="71"/>
    </row>
    <row r="481" hidden="1" outlineLevel="2">
      <c r="A481" s="96" t="str">
        <f t="shared" si="46"/>
        <v/>
      </c>
      <c r="B481" s="98">
        <f t="shared" si="50"/>
        <v>0</v>
      </c>
      <c r="C481" s="97" t="str">
        <f t="shared" si="47"/>
        <v/>
      </c>
      <c r="D481" s="98" t="str">
        <f t="shared" si="48"/>
        <v/>
      </c>
      <c r="E481" s="98">
        <f t="shared" si="49"/>
        <v>0</v>
      </c>
      <c r="G481" s="85"/>
      <c r="H481" s="85"/>
      <c r="I481" s="42"/>
      <c r="J481" s="104"/>
      <c r="K481" s="104"/>
      <c r="L481" s="102"/>
    </row>
    <row r="482" hidden="1" outlineLevel="2">
      <c r="A482" s="96" t="str">
        <f t="shared" si="46"/>
        <v/>
      </c>
      <c r="B482" s="98">
        <f t="shared" si="50"/>
        <v>0</v>
      </c>
      <c r="C482" s="97" t="str">
        <f t="shared" si="47"/>
        <v/>
      </c>
      <c r="D482" s="98" t="str">
        <f t="shared" si="48"/>
        <v/>
      </c>
      <c r="E482" s="98">
        <f t="shared" si="49"/>
        <v>0</v>
      </c>
      <c r="G482" s="85"/>
      <c r="H482" s="85"/>
      <c r="I482" s="42"/>
      <c r="J482" s="104"/>
      <c r="K482" s="104"/>
      <c r="L482" s="102"/>
    </row>
    <row r="483" hidden="1" outlineLevel="2">
      <c r="A483" s="96" t="str">
        <f t="shared" si="46"/>
        <v/>
      </c>
      <c r="B483" s="98">
        <f t="shared" si="50"/>
        <v>0</v>
      </c>
      <c r="C483" s="97" t="str">
        <f t="shared" si="47"/>
        <v/>
      </c>
      <c r="D483" s="98" t="str">
        <f t="shared" si="48"/>
        <v/>
      </c>
      <c r="E483" s="98">
        <f t="shared" si="49"/>
        <v>0</v>
      </c>
      <c r="G483" s="85"/>
      <c r="H483" s="85"/>
      <c r="I483" s="42"/>
      <c r="J483" s="104"/>
      <c r="K483" s="104"/>
      <c r="L483" s="71"/>
    </row>
    <row r="484" hidden="1" outlineLevel="2">
      <c r="A484" s="39"/>
      <c r="B484" s="39"/>
      <c r="C484" s="39"/>
      <c r="D484" s="39"/>
      <c r="E484" s="39"/>
      <c r="F484" s="39" t="s">
        <v>186</v>
      </c>
      <c r="G484" s="51">
        <f>if(G432=TRUE,0,if(G431=FALSE,(SUM(B434:B483)+SUM(E434:E483)),999999))</f>
        <v>0</v>
      </c>
      <c r="H484" s="76" t="s">
        <v>187</v>
      </c>
    </row>
    <row r="485" hidden="1" outlineLevel="2">
      <c r="A485" s="39"/>
      <c r="B485" s="39"/>
      <c r="C485" s="39"/>
      <c r="D485" s="39"/>
      <c r="E485" s="39"/>
      <c r="F485" s="39"/>
    </row>
    <row r="486" ht="22.5" customHeight="1">
      <c r="A486" s="105"/>
      <c r="B486" s="105"/>
      <c r="C486" s="105"/>
      <c r="D486" s="105"/>
      <c r="E486" s="105"/>
      <c r="F486" s="105" t="s">
        <v>188</v>
      </c>
    </row>
    <row r="487" outlineLevel="1">
      <c r="A487" s="39"/>
      <c r="B487" s="39"/>
      <c r="C487" s="39"/>
      <c r="D487" s="39"/>
      <c r="E487" s="39"/>
      <c r="F487" s="39"/>
      <c r="G487" s="106"/>
      <c r="L487" s="39"/>
    </row>
    <row r="488" outlineLevel="1">
      <c r="A488" s="39"/>
      <c r="B488" s="39"/>
      <c r="C488" s="39"/>
      <c r="D488" s="39"/>
      <c r="E488" s="39"/>
      <c r="F488" s="39">
        <v>10.1</v>
      </c>
      <c r="G488" s="107">
        <v>2.3</v>
      </c>
      <c r="H488" s="108"/>
      <c r="I488" s="108" t="s">
        <v>189</v>
      </c>
      <c r="L488" s="109"/>
    </row>
    <row r="489" outlineLevel="1">
      <c r="A489" s="39"/>
      <c r="B489" s="39"/>
      <c r="C489" s="39"/>
      <c r="D489" s="39"/>
      <c r="E489" s="39"/>
      <c r="F489" s="39">
        <v>10.2</v>
      </c>
      <c r="G489" s="110">
        <v>46149.0</v>
      </c>
      <c r="H489" s="108"/>
      <c r="I489" s="108" t="s">
        <v>190</v>
      </c>
      <c r="L489" s="111"/>
    </row>
    <row r="490" outlineLevel="1">
      <c r="A490" s="39"/>
      <c r="B490" s="39"/>
      <c r="C490" s="39"/>
      <c r="D490" s="39"/>
      <c r="E490" s="39"/>
      <c r="F490" s="39">
        <v>10.3</v>
      </c>
      <c r="G490" s="112" t="s">
        <v>191</v>
      </c>
      <c r="H490" s="108"/>
      <c r="I490" s="108" t="s">
        <v>192</v>
      </c>
      <c r="L490" s="111"/>
    </row>
    <row r="491" outlineLevel="1">
      <c r="A491" s="39"/>
      <c r="B491" s="39"/>
      <c r="C491" s="39"/>
      <c r="D491" s="39"/>
      <c r="E491" s="39"/>
      <c r="F491" s="39"/>
      <c r="G491" s="113"/>
      <c r="H491" s="114"/>
      <c r="I491" s="114"/>
      <c r="J491" s="114"/>
      <c r="K491" s="115"/>
      <c r="L491" s="39"/>
    </row>
    <row r="492" outlineLevel="1">
      <c r="A492" s="39"/>
      <c r="B492" s="39"/>
      <c r="C492" s="39"/>
      <c r="D492" s="39"/>
      <c r="E492" s="39"/>
      <c r="F492" s="39">
        <f t="shared" ref="F492:G492" si="51">F24</f>
        <v>2.11</v>
      </c>
      <c r="G492" s="116" t="str">
        <f t="shared" si="51"/>
        <v>#REF!</v>
      </c>
      <c r="H492" s="108"/>
      <c r="I492" s="108" t="s">
        <v>193</v>
      </c>
      <c r="L492" s="111" t="str">
        <f>ifs(G5="","",G5="YES","",G6="YES","*Documentation score capped at 90% due to non-obvious unique product identifier (§1.4)",G5="NO","*Documentation score capped at 85% due to lack of unique product identifier (§1.3)")</f>
        <v/>
      </c>
    </row>
    <row r="493" outlineLevel="1">
      <c r="A493" s="39"/>
      <c r="B493" s="39"/>
      <c r="C493" s="39"/>
      <c r="D493" s="39"/>
      <c r="E493" s="39"/>
      <c r="F493" s="39">
        <f t="shared" ref="F493:G493" si="52">F37</f>
        <v>3.5</v>
      </c>
      <c r="G493" s="116" t="str">
        <f t="shared" si="52"/>
        <v>#REF!</v>
      </c>
      <c r="H493" s="108"/>
      <c r="I493" s="108" t="s">
        <v>50</v>
      </c>
      <c r="L493" s="111" t="str">
        <f>ifs(G5="","",G5="YES","",G6="YES","*Parts score capped at 90% due to non-obvious unique product identifier (§1.4)",G5="NO","*Parts score capped at 85% due to lack of unique product identifier (§1.3)")</f>
        <v/>
      </c>
    </row>
    <row r="494" outlineLevel="1">
      <c r="A494" s="39"/>
      <c r="B494" s="39"/>
      <c r="C494" s="39"/>
      <c r="D494" s="39"/>
      <c r="E494" s="39"/>
      <c r="F494" s="39"/>
      <c r="G494" s="113"/>
      <c r="H494" s="114"/>
      <c r="I494" s="114"/>
      <c r="J494" s="114"/>
      <c r="K494" s="115"/>
      <c r="L494" s="39"/>
    </row>
    <row r="495" outlineLevel="1">
      <c r="A495" s="39"/>
      <c r="B495" s="39"/>
      <c r="C495" s="39"/>
      <c r="D495" s="39"/>
      <c r="E495" s="39"/>
      <c r="F495" s="39"/>
      <c r="G495" s="116"/>
      <c r="H495" s="117"/>
      <c r="I495" s="61" t="s">
        <v>194</v>
      </c>
      <c r="L495" s="39"/>
    </row>
    <row r="496" outlineLevel="1">
      <c r="A496" s="39"/>
      <c r="B496" s="39"/>
      <c r="C496" s="39"/>
      <c r="D496" s="39"/>
      <c r="E496" s="39"/>
      <c r="F496" s="39" t="s">
        <v>137</v>
      </c>
      <c r="G496" s="116" t="str">
        <f>G148</f>
        <v>#REF!</v>
      </c>
      <c r="H496" s="117" t="str">
        <f t="shared" ref="H496:H502" si="53">IF($G$4="","",(IF($G$4=Range!A$1,VLOOKUP(G496,Range!$B$6:$D$14,3, TRUE),IF($G$4=Range!A$16,VLOOKUP(G496,Range!$B$21:$D$29,3, TRUE),IF($G$4=Range!A$31,VLOOKUP(G496,Range!$B$36:$D$44,3, TRUE),IF($G$4=Range!A$46,VLOOKUP(G496,Range!$B$51:$D$59,3, TRUE),IF($G$4=Range!A$61,VLOOKUP(G496,Range!$B$66:$D$74,3, TRUE),IF($G$4=Range!A$76,VLOOKUP(G496,Range!$B$81:$D$89,3, TRUE),IF($G$4=Range!A$91,VLOOKUP(G496,Range!$B$96:$D$104,3, TRUE),IF($G$4=Range!A$106,VLOOKUP(G496,Range!$B$111:$D$119,3, TRUE),IF($G$4=Range!A$121,VLOOKUP(G496,Range!$B$126:$D$134,3, TRUE),IF($G$4=Range!A$136,VLOOKUP(G496,Range!$B$141:$D$149,3, TRUE),IF($G$4=Range!A$151,VLOOKUP(G496,Range!$B$156:$D$164,3, TRUE),IF($G$4=Range!A$166,VLOOKUP(G496,Range!$B$171:$D$179,3, TRUE),IF($G$4=Range!A$181,VLOOKUP(G496,Range!$B$186:$D$194,3, TRUE),IF($G$4=Range!A$196,VLOOKUP(G496,Range!$B$201:$D$209,3, TRUE),IF($G$4=Range!A$211,VLOOKUP(G496,Range!$B$216:$D$224,3, TRUE),IF($G$4=Range!A$226,VLOOKUP(G496,Range!$B$231:$D$239,3, TRUE))))))))))))))))))*A82*C82+B82)</f>
        <v>#REF!</v>
      </c>
      <c r="I496" s="61" t="str">
        <f>concat("  Priority Part 1 — ",G94)</f>
        <v>#REF!</v>
      </c>
      <c r="L496" s="118" t="str">
        <f>if(G96=TRUE,H96,if(G95=TRUE,H95,IF(SUM(A82:C82)&lt;&gt;2,"*Includes parts pairing penalty—see §6","")))</f>
        <v/>
      </c>
    </row>
    <row r="497" outlineLevel="1">
      <c r="A497" s="39"/>
      <c r="B497" s="39"/>
      <c r="C497" s="39"/>
      <c r="D497" s="39"/>
      <c r="E497" s="39"/>
      <c r="F497" s="39" t="s">
        <v>148</v>
      </c>
      <c r="G497" s="116" t="str">
        <f>G204</f>
        <v>#REF!</v>
      </c>
      <c r="H497" s="117" t="str">
        <f t="shared" si="53"/>
        <v>#REF!</v>
      </c>
      <c r="I497" s="61" t="str">
        <f>concat("  Priority Part 2 — ",G150)</f>
        <v>#REF!</v>
      </c>
      <c r="L497" s="118" t="str">
        <f>if(G152=TRUE,H152,if(G151=TRUE,H151,IF(SUM(A83:C83)&lt;&gt;2,"*Includes parts pairing penalty—see §6","")))</f>
        <v/>
      </c>
    </row>
    <row r="498" outlineLevel="1">
      <c r="A498" s="39"/>
      <c r="B498" s="39"/>
      <c r="C498" s="39"/>
      <c r="D498" s="39"/>
      <c r="E498" s="39"/>
      <c r="F498" s="39" t="s">
        <v>153</v>
      </c>
      <c r="G498" s="116">
        <f>G260</f>
        <v>999999</v>
      </c>
      <c r="H498" s="117" t="str">
        <f t="shared" si="53"/>
        <v>#REF!</v>
      </c>
      <c r="I498" s="61" t="str">
        <f>concat("  Priority Part 3 — ",G206)</f>
        <v>#REF!</v>
      </c>
      <c r="L498" s="118" t="str">
        <f>if(G208=TRUE,H208,if(G207=TRUE,H207,IF(SUM(A84:C84)&lt;&gt;2,"*Includes parts pairing penalty—see §6","")))</f>
        <v>Part not accessible</v>
      </c>
    </row>
    <row r="499" outlineLevel="1">
      <c r="A499" s="39"/>
      <c r="B499" s="39"/>
      <c r="C499" s="39"/>
      <c r="D499" s="39"/>
      <c r="E499" s="39"/>
      <c r="F499" s="39" t="s">
        <v>163</v>
      </c>
      <c r="G499" s="116" t="str">
        <f>G316</f>
        <v>#REF!</v>
      </c>
      <c r="H499" s="117" t="str">
        <f t="shared" si="53"/>
        <v>#REF!</v>
      </c>
      <c r="I499" s="61" t="str">
        <f>concat("  Priority Part 4 — ",G262)</f>
        <v>#REF!</v>
      </c>
      <c r="L499" s="118" t="str">
        <f>if(G264=TRUE,H264,if(G263=TRUE,H263,IF(SUM(A85:C85)&lt;&gt;2,"*Includes parts pairing penalty—see §6","")))</f>
        <v/>
      </c>
    </row>
    <row r="500" outlineLevel="1">
      <c r="A500" s="39"/>
      <c r="B500" s="39"/>
      <c r="C500" s="39"/>
      <c r="D500" s="39"/>
      <c r="E500" s="39"/>
      <c r="F500" s="39" t="s">
        <v>172</v>
      </c>
      <c r="G500" s="116" t="str">
        <f>G372</f>
        <v>#REF!</v>
      </c>
      <c r="H500" s="117" t="str">
        <f t="shared" si="53"/>
        <v>#REF!</v>
      </c>
      <c r="I500" s="61" t="str">
        <f>concat("  Priority Part 5 — ",G318)</f>
        <v>#REF!</v>
      </c>
      <c r="L500" s="118" t="str">
        <f>if(G320=TRUE,H320,if(G319=TRUE,H319,IF(SUM(A86:C86)&lt;&gt;2,"*Includes parts pairing penalty—see §6","")))</f>
        <v/>
      </c>
    </row>
    <row r="501" outlineLevel="1">
      <c r="A501" s="39"/>
      <c r="B501" s="39"/>
      <c r="C501" s="39"/>
      <c r="D501" s="39"/>
      <c r="E501" s="39"/>
      <c r="F501" s="39" t="s">
        <v>181</v>
      </c>
      <c r="G501" s="116" t="str">
        <f>G428</f>
        <v>#REF!</v>
      </c>
      <c r="H501" s="117" t="str">
        <f t="shared" si="53"/>
        <v>#REF!</v>
      </c>
      <c r="I501" s="61" t="str">
        <f>concat("  Priority Part 6 — ",G374)</f>
        <v>#REF!</v>
      </c>
      <c r="L501" s="118" t="str">
        <f>if(G376=TRUE,H376,if(G375=TRUE,H375,IF(SUM(A87:C87)&lt;&gt;2,"*Includes parts pairing penalty—see §6","")))</f>
        <v/>
      </c>
    </row>
    <row r="502" outlineLevel="1">
      <c r="A502" s="39"/>
      <c r="B502" s="39"/>
      <c r="C502" s="39"/>
      <c r="D502" s="39"/>
      <c r="E502" s="39" t="s">
        <v>195</v>
      </c>
      <c r="F502" s="39" t="s">
        <v>186</v>
      </c>
      <c r="G502" s="116">
        <f>G484</f>
        <v>0</v>
      </c>
      <c r="H502" s="117" t="str">
        <f t="shared" si="53"/>
        <v>#REF!</v>
      </c>
      <c r="I502" s="61" t="str">
        <f>concat("  Priority Part 7 — ",G430)</f>
        <v>#REF!</v>
      </c>
      <c r="L502" s="118" t="str">
        <f>if(G432=TRUE,H432,if(G431=TRUE,H431,IF(SUM(A88:C88)&lt;&gt;2,"*Includes parts pairing penalty—see §6","")))</f>
        <v/>
      </c>
    </row>
    <row r="503" outlineLevel="1">
      <c r="A503" s="39"/>
      <c r="B503" s="39"/>
      <c r="C503" s="39"/>
      <c r="D503" s="39"/>
      <c r="E503" s="39"/>
      <c r="F503" s="119">
        <v>10.4</v>
      </c>
      <c r="G503" s="77" t="str">
        <f>H496*HLOOKUP(G4,'Scored Components + Weights'!C1:V17,5,FALSE)+H497*HLOOKUP(G4,'Scored Components + Weights'!C1:V17,7,FALSE)+H498*HLOOKUP(G4,'Scored Components + Weights'!C1:V17,9,FALSE)+H499*HLOOKUP(G4,'Scored Components + Weights'!C1:V17,11,FALSE)+H500*HLOOKUP(G4,'Scored Components + Weights'!C1:V17,13,FALSE)+H501*HLOOKUP(G4,'Scored Components + Weights'!C1:V17,15,FALSE)+H502*HLOOKUP(G4,'Scored Components + Weights'!C1:V17,17,FALSE)+SUM(D89:D90)*0.4</f>
        <v>#REF!</v>
      </c>
      <c r="H503" s="108"/>
      <c r="I503" s="61" t="s">
        <v>196</v>
      </c>
      <c r="L503" s="118" t="str">
        <f>IF(SUM(D89:D90)&lt;&gt;0,"*Includes parts pairing penalty—see §6","")</f>
        <v/>
      </c>
    </row>
    <row r="504" outlineLevel="1">
      <c r="A504" s="39"/>
      <c r="B504" s="39"/>
      <c r="C504" s="39"/>
      <c r="D504" s="39"/>
      <c r="E504" s="39"/>
      <c r="F504" s="39"/>
      <c r="G504" s="113"/>
      <c r="H504" s="114"/>
      <c r="I504" s="114"/>
      <c r="J504" s="114"/>
      <c r="K504" s="115"/>
      <c r="L504" s="39"/>
    </row>
    <row r="505" ht="44.25" customHeight="1" outlineLevel="1">
      <c r="A505" s="39"/>
      <c r="B505" s="39"/>
      <c r="C505" s="39"/>
      <c r="D505" s="39"/>
      <c r="E505" s="39"/>
      <c r="F505" s="39">
        <v>10.5</v>
      </c>
      <c r="G505" s="120" t="str">
        <f>if(G492+G493+G503&gt;0,G492+G493+G503,0)</f>
        <v>#REF!</v>
      </c>
      <c r="H505" s="121" t="s">
        <v>197</v>
      </c>
      <c r="I505" s="122"/>
      <c r="J505" s="123"/>
      <c r="K505" s="123"/>
      <c r="L505" s="124"/>
    </row>
    <row r="506" outlineLevel="1">
      <c r="A506" s="39"/>
      <c r="B506" s="39"/>
      <c r="C506" s="39"/>
      <c r="D506" s="39"/>
      <c r="E506" s="39"/>
      <c r="F506" s="125" t="s">
        <v>198</v>
      </c>
    </row>
  </sheetData>
  <mergeCells count="104">
    <mergeCell ref="H1:K1"/>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73:H73"/>
    <mergeCell ref="G74:H74"/>
    <mergeCell ref="G75:H75"/>
    <mergeCell ref="G76:H76"/>
    <mergeCell ref="G77:H77"/>
    <mergeCell ref="B78:F78"/>
    <mergeCell ref="G78:K78"/>
    <mergeCell ref="H79:L79"/>
    <mergeCell ref="I82:J82"/>
    <mergeCell ref="I83:J83"/>
    <mergeCell ref="I84:J84"/>
    <mergeCell ref="I85:J85"/>
    <mergeCell ref="I86:J86"/>
    <mergeCell ref="I87:J87"/>
    <mergeCell ref="H151:K151"/>
    <mergeCell ref="H152:K152"/>
    <mergeCell ref="I501:K501"/>
    <mergeCell ref="I502:K502"/>
    <mergeCell ref="I503:K503"/>
    <mergeCell ref="F506:L506"/>
    <mergeCell ref="I493:K493"/>
    <mergeCell ref="I495:K495"/>
    <mergeCell ref="I496:K496"/>
    <mergeCell ref="I497:K497"/>
    <mergeCell ref="I498:K498"/>
    <mergeCell ref="I499:K499"/>
    <mergeCell ref="I500:K500"/>
    <mergeCell ref="F98:F147"/>
    <mergeCell ref="F154:F203"/>
    <mergeCell ref="F210:F259"/>
    <mergeCell ref="F266:F315"/>
    <mergeCell ref="F322:F371"/>
    <mergeCell ref="F378:F427"/>
    <mergeCell ref="F434:F483"/>
    <mergeCell ref="G66:H66"/>
    <mergeCell ref="G67:H67"/>
    <mergeCell ref="G68:H68"/>
    <mergeCell ref="G69:H69"/>
    <mergeCell ref="G70:H70"/>
    <mergeCell ref="G71:H71"/>
    <mergeCell ref="G72:H72"/>
    <mergeCell ref="I88:J88"/>
    <mergeCell ref="I89:J89"/>
    <mergeCell ref="I90:J90"/>
    <mergeCell ref="H95:K95"/>
    <mergeCell ref="H96:K96"/>
    <mergeCell ref="H148:K148"/>
    <mergeCell ref="F149:L149"/>
    <mergeCell ref="H204:L204"/>
    <mergeCell ref="F205:L205"/>
    <mergeCell ref="H207:K207"/>
    <mergeCell ref="H208:K208"/>
    <mergeCell ref="H260:L260"/>
    <mergeCell ref="F261:L261"/>
    <mergeCell ref="H263:K263"/>
    <mergeCell ref="H264:K264"/>
    <mergeCell ref="H316:L316"/>
    <mergeCell ref="F317:L317"/>
    <mergeCell ref="H319:K319"/>
    <mergeCell ref="H320:K320"/>
    <mergeCell ref="H372:L372"/>
    <mergeCell ref="F373:L373"/>
    <mergeCell ref="H375:K375"/>
    <mergeCell ref="H376:K376"/>
    <mergeCell ref="H428:L428"/>
    <mergeCell ref="F429:L429"/>
    <mergeCell ref="H431:K431"/>
    <mergeCell ref="H432:K432"/>
    <mergeCell ref="H484:L484"/>
    <mergeCell ref="F485:L485"/>
    <mergeCell ref="F486:L486"/>
    <mergeCell ref="G487:K487"/>
    <mergeCell ref="I488:K488"/>
    <mergeCell ref="I489:K489"/>
    <mergeCell ref="I490:K490"/>
    <mergeCell ref="I492:K492"/>
  </mergeCells>
  <conditionalFormatting sqref="G16:G22">
    <cfRule type="expression" dxfId="0" priority="1">
      <formula>"if"</formula>
    </cfRule>
  </conditionalFormatting>
  <conditionalFormatting sqref="G3:G5 G9:G22 G26 G29:G35 I82:I90 G93 G489:G490">
    <cfRule type="containsBlanks" dxfId="1" priority="2">
      <formula>LEN(TRIM(G3))=0</formula>
    </cfRule>
  </conditionalFormatting>
  <conditionalFormatting sqref="G16:G22">
    <cfRule type="expression" dxfId="2" priority="3">
      <formula>AND(G10="Partial/Incomplete", G16="")</formula>
    </cfRule>
  </conditionalFormatting>
  <conditionalFormatting sqref="I98:K147 I154:K203 I210:K259 I266:K315 I322:K371 I378:K427 I434:K483">
    <cfRule type="notContainsBlanks" dxfId="3" priority="4">
      <formula>LEN(TRIM(I98))&gt;0</formula>
    </cfRule>
  </conditionalFormatting>
  <conditionalFormatting sqref="I98:K147 I154:K203 I210:K259 I266:K315 I322:K371 I378:K427 I434:K483">
    <cfRule type="expression" dxfId="4" priority="5">
      <formula>$H98="Other/Nonstandard (Manual Entry)"</formula>
    </cfRule>
  </conditionalFormatting>
  <conditionalFormatting sqref="G9:G22">
    <cfRule type="cellIs" dxfId="5" priority="6" operator="equal">
      <formula>"No"</formula>
    </cfRule>
  </conditionalFormatting>
  <dataValidations>
    <dataValidation type="list" allowBlank="1" showInputMessage="1" showErrorMessage="1" prompt="Click and enter a value from range" sqref="G4">
      <formula1>'Scored Components + Weights'!$C$1:$V$1</formula1>
    </dataValidation>
    <dataValidation type="decimal" operator="greaterThan" allowBlank="1" showDropDown="1" showInputMessage="1" showErrorMessage="1" prompt="Please enter a number greater than zero" sqref="I98:I147 I154:I203 I210:I259 I266:I315 I322:I371 I378:I427 I434:I483">
      <formula1>0.0</formula1>
    </dataValidation>
    <dataValidation type="list" allowBlank="1" showInputMessage="1" showErrorMessage="1" prompt="Select from the existing list of tools. If a new tool is required, first enter and score it appropriately in the Ref: Tools worksheet." sqref="G40:G77 G98:G147 G154:G203 G210:G259 G266:G315 G322:G371 G378:G427 G434:G483">
      <formula1>Tools!$A$8:$A$177</formula1>
    </dataValidation>
    <dataValidation type="list" allowBlank="1" showInputMessage="1" showErrorMessage="1" prompt="Enter the name of the technician physically performing the disassembly/reassembly. To add a new technician, use the &quot;Technicians&quot; worksheet." sqref="G93">
      <formula1>Technicians!$A$2:$A$27</formula1>
    </dataValidation>
    <dataValidation type="list" allowBlank="1" showErrorMessage="1" sqref="G16:G22">
      <formula1>"Yes,No,N/A"</formula1>
    </dataValidation>
    <dataValidation type="list" allowBlank="1" showErrorMessage="1" sqref="G5:G6 G9:G15">
      <formula1>"Yes,No"</formula1>
    </dataValidation>
    <dataValidation type="list" allowBlank="1" showInputMessage="1" showErrorMessage="1" prompt="Pleas select a standard action from the list, or enter &quot;Other/Nonstandard&quot; and input a description." sqref="H98:H147 H154:H203 H210:H259 H266:H315 H322:H371 H378:H427 H434:H483">
      <formula1>'Actions + Proxy Times'!$A$3:$A$118</formula1>
    </dataValidation>
    <dataValidation type="custom" allowBlank="1" showDropDown="1" showInputMessage="1" showErrorMessage="1" prompt="Manual entry of timing intervals is only permitted if the selected Action is set to &quot;Other/Nonstandard (Manual Entry).&quot;" sqref="J98:K147 J154:K203 J210:K259 J266:K315 J322:K371 J378:K427 J434:K483">
      <formula1>$H98="Other/Nonstandard (Manual Entry)"</formula1>
    </dataValidation>
    <dataValidation type="list" allowBlank="1" showErrorMessage="1" sqref="I82:I90">
      <formula1>"Part Fully Functional (Yay!),Part Partially Functional (Huh?),Part Nonfunctional (Argh),Device Nonfunctional (Noooo!)"</formula1>
    </dataValidation>
    <dataValidation type="decimal" allowBlank="1" showDropDown="1" showInputMessage="1" showErrorMessage="1" prompt="Enter a number between 0 and 9" sqref="G36">
      <formula1>0.0</formula1>
      <formula2>9.0</formula2>
    </dataValidation>
    <dataValidation type="list" allowBlank="1" showErrorMessage="1" sqref="G490">
      <formula1>"COMPLETE,PROVISIONAL,REVISED,WIP,NEEDS UPDATE"</formula1>
    </dataValidation>
  </dataValidations>
  <hyperlinks>
    <hyperlink r:id="rId2" ref="L9"/>
    <hyperlink r:id="rId3" ref="L26"/>
    <hyperlink r:id="rId4" ref="L27"/>
    <hyperlink display="↩️ Back to (Main) Summary" location="null!A1" ref="F506"/>
  </hyperlinks>
  <drawing r:id="rId5"/>
  <legacyDrawing r:id="rId6"/>
</worksheet>
</file>